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\ClaudeProjects\Phase_In_Rate\"/>
    </mc:Choice>
  </mc:AlternateContent>
  <xr:revisionPtr revIDLastSave="0" documentId="13_ncr:1_{26CA16CF-63DE-41D7-9779-23CCAFA9D057}" xr6:coauthVersionLast="47" xr6:coauthVersionMax="47" xr10:uidLastSave="{00000000-0000-0000-0000-000000000000}"/>
  <bookViews>
    <workbookView xWindow="-21555" yWindow="1890" windowWidth="21495" windowHeight="18060" xr2:uid="{2278B43A-3738-47ED-B071-2C8F34EE0555}"/>
  </bookViews>
  <sheets>
    <sheet name="EVSE Price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2" i="1"/>
  <c r="Q3" i="1"/>
  <c r="Q4" i="1"/>
  <c r="Q5" i="1"/>
  <c r="Q6" i="1"/>
  <c r="Q7" i="1"/>
  <c r="Q8" i="1"/>
  <c r="Q9" i="1"/>
  <c r="Q10" i="1"/>
  <c r="Q11" i="1"/>
  <c r="Q12" i="1"/>
  <c r="Q13" i="1"/>
  <c r="Q2" i="1"/>
  <c r="N22" i="1"/>
  <c r="M22" i="1"/>
  <c r="L22" i="1"/>
  <c r="I22" i="1"/>
  <c r="H22" i="1"/>
  <c r="N21" i="1"/>
  <c r="M21" i="1"/>
  <c r="L21" i="1"/>
  <c r="I21" i="1"/>
  <c r="H21" i="1"/>
  <c r="N20" i="1"/>
  <c r="M20" i="1"/>
  <c r="L20" i="1"/>
  <c r="I20" i="1"/>
  <c r="H20" i="1"/>
  <c r="N19" i="1"/>
  <c r="M19" i="1"/>
  <c r="L19" i="1"/>
  <c r="I19" i="1"/>
  <c r="H19" i="1"/>
  <c r="N18" i="1"/>
  <c r="M18" i="1"/>
  <c r="L18" i="1"/>
  <c r="G18" i="1"/>
  <c r="I18" i="1" s="1"/>
  <c r="N17" i="1"/>
  <c r="M17" i="1"/>
  <c r="L17" i="1"/>
  <c r="I17" i="1"/>
  <c r="H17" i="1"/>
  <c r="N16" i="1"/>
  <c r="M16" i="1"/>
  <c r="L16" i="1"/>
  <c r="I16" i="1"/>
  <c r="H16" i="1"/>
  <c r="N15" i="1"/>
  <c r="M15" i="1"/>
  <c r="L15" i="1"/>
  <c r="I15" i="1"/>
  <c r="H15" i="1"/>
  <c r="N14" i="1"/>
  <c r="M14" i="1"/>
  <c r="L14" i="1"/>
  <c r="G14" i="1"/>
  <c r="I14" i="1" s="1"/>
  <c r="N13" i="1"/>
  <c r="M13" i="1"/>
  <c r="L13" i="1"/>
  <c r="H13" i="1"/>
  <c r="N12" i="1"/>
  <c r="M12" i="1"/>
  <c r="L12" i="1"/>
  <c r="I12" i="1"/>
  <c r="I13" i="1" s="1"/>
  <c r="H12" i="1"/>
  <c r="N11" i="1"/>
  <c r="M11" i="1"/>
  <c r="L11" i="1"/>
  <c r="H11" i="1"/>
  <c r="N10" i="1"/>
  <c r="M10" i="1"/>
  <c r="L10" i="1"/>
  <c r="H10" i="1"/>
  <c r="N9" i="1"/>
  <c r="M9" i="1"/>
  <c r="L9" i="1"/>
  <c r="I9" i="1"/>
  <c r="I10" i="1" s="1"/>
  <c r="H9" i="1"/>
  <c r="N8" i="1"/>
  <c r="M8" i="1"/>
  <c r="L8" i="1"/>
  <c r="H8" i="1"/>
  <c r="N7" i="1"/>
  <c r="M7" i="1"/>
  <c r="L7" i="1"/>
  <c r="H7" i="1"/>
  <c r="N6" i="1"/>
  <c r="M6" i="1"/>
  <c r="L6" i="1"/>
  <c r="I6" i="1"/>
  <c r="I7" i="1" s="1"/>
  <c r="H6" i="1"/>
  <c r="N5" i="1"/>
  <c r="M5" i="1"/>
  <c r="L5" i="1"/>
  <c r="H5" i="1"/>
  <c r="N4" i="1"/>
  <c r="M4" i="1"/>
  <c r="L4" i="1"/>
  <c r="H4" i="1"/>
  <c r="N3" i="1"/>
  <c r="M3" i="1"/>
  <c r="L3" i="1"/>
  <c r="I3" i="1"/>
  <c r="I4" i="1" s="1"/>
  <c r="H3" i="1"/>
  <c r="N2" i="1"/>
  <c r="M2" i="1"/>
  <c r="L2" i="1"/>
  <c r="H2" i="1"/>
  <c r="H18" i="1" l="1"/>
  <c r="H14" i="1"/>
</calcChain>
</file>

<file path=xl/sharedStrings.xml><?xml version="1.0" encoding="utf-8"?>
<sst xmlns="http://schemas.openxmlformats.org/spreadsheetml/2006/main" count="142" uniqueCount="65">
  <si>
    <t>Proposed EVSE Equipment</t>
  </si>
  <si>
    <t>Description</t>
  </si>
  <si>
    <t>Manufacturer</t>
  </si>
  <si>
    <t>Part Number</t>
  </si>
  <si>
    <t>MSRP</t>
  </si>
  <si>
    <t>CSEV Cost</t>
  </si>
  <si>
    <t>Bundled+Tax Cost</t>
  </si>
  <si>
    <t>Customer Price</t>
  </si>
  <si>
    <t>Annual Network Plan</t>
  </si>
  <si>
    <t>Number of Plugs</t>
  </si>
  <si>
    <t>1 Year Network Plan</t>
  </si>
  <si>
    <t>3 Year Network Plan</t>
  </si>
  <si>
    <t>5 Year Network Plan</t>
  </si>
  <si>
    <t>Shipping Cost</t>
  </si>
  <si>
    <t>EVSE Amperage</t>
  </si>
  <si>
    <t>MaxiCharger ACUltra - CSEV-AC-DP - 48A Output - Dual Port Pedestal with CMS</t>
  </si>
  <si>
    <t>MaxiCharger ACUltra - CSEV-AC-DP - 48A Output - Dual Port Pedestal with CMS.  Includes 3 Years of Parts Only Warranty</t>
  </si>
  <si>
    <t>Autel</t>
  </si>
  <si>
    <t>MaxiCharger ACUltra - CSEV-AC-SP - 48A Output - Single Port Pedestal with CMS</t>
  </si>
  <si>
    <t>MaxiCharger ACUltra - CSEV-AC-SP - 48A Output - Single Port Pedestal with CMS.  Includes 3 Years of Parts Only Warranty</t>
  </si>
  <si>
    <t>MaxiCharger ACUltra - CSEV-AC-SP - 48A Output - Single Port Wall Mount</t>
  </si>
  <si>
    <t>MaxiCharger ACUltra - CSEV-AC-SP - 48A Output - Single Port Wall Mount.  Includes 3 Years of Parts Only Warranty</t>
  </si>
  <si>
    <t>MaxiCharger ACUltra - CSEV-AC-DP - 40A Output - Dual Port Pedestal with CMS</t>
  </si>
  <si>
    <t>MaxiCharger ACUltra - CSEV-AC-DP - 40A Output - Dual Port Pedestal with CMS.  Includes 3 Years of Parts Only Warranty</t>
  </si>
  <si>
    <t>MaxiCharger ACUltra - CSEV-AC-SP - 40A Output - Single Port Pedestal with CMS</t>
  </si>
  <si>
    <t>MaxiCharger ACUltra - CSEV-AC-SP - 40A Output - Single Port Pedestal with CMS.  Includes 3 Years of Parts Only Warranty</t>
  </si>
  <si>
    <t>MaxiCharger ACUltra - CSEV-AC-SP - 40A Output - Single Port Wall Mount</t>
  </si>
  <si>
    <t>MaxiCharger ACUltra - CSEV-AC-SP - 40A Output - Single Port Wall Mount.  Includes 3 Years of Parts Only Warranty</t>
  </si>
  <si>
    <t>MaxiCharger ACUltra - CSEV-AC-DP - 80A Output - Dual Port Pedestal with CMS</t>
  </si>
  <si>
    <t>MaxiCharger ACUltra - CSEV-AC-DP - 80A Output - Dual Port Pedestal with CMS.  Includes 3 Years of Parts Only Warranty</t>
  </si>
  <si>
    <t>MaxiCharger ACUltra - CSEV-AC-SP - 80A Output - Single Port Pedestal with CMS</t>
  </si>
  <si>
    <t>MaxiCharger ACUltra - CSEV-AC-SP - 80A Output - Single Port Pedestal with CMS.  Includes 3 Years of Parts Only Warranty</t>
  </si>
  <si>
    <t>MaxiCharger ACUltra - CSEV-AC-SP - 80A Output - Single Port Wall Mount</t>
  </si>
  <si>
    <t>MaxiCharger ACUltra - CSEV-AC-SP - 80A Output - Single Port Wall Mount.  Includes 3 Years of Parts Only Warranty</t>
  </si>
  <si>
    <t>MaxiCharger ACUltra - CSEV-AC-DP - 32A Output - Dual Port Pedestal with CMS</t>
  </si>
  <si>
    <t>MaxiCharger ACUltra - CSEV-AC-DP - 32A Output - Dual Port Pedestal with CMS.  Includes 3 Years of Parts Only Warranty</t>
  </si>
  <si>
    <t>MaxiCharger ACUltra - CSEV-AC-SP - 32A Output - Single Port Pedestal with CMS</t>
  </si>
  <si>
    <t>MaxiCharger ACUltra - CSEV-AC-SP - 32A Output - Single Port Pedestal with CMS.  Includes 3 Years of Parts Only Warranty</t>
  </si>
  <si>
    <t>MaxiCharger ACUltra - CSEV-AC-SP - 32A Output - Single Port Wall Mount</t>
  </si>
  <si>
    <t>MaxiCharger ACUltra - CSEV-AC-SP - 32A Output - Single Port Wall Mount.  Includes 3 Years of Parts Only Warranty</t>
  </si>
  <si>
    <t>CSEV MaxiCharger 60kW DC Fast - CCS/CCS - POS &amp; CMS &amp; Boost Cables</t>
  </si>
  <si>
    <t>CSEV MaxiCharger 60kW DC Fast - CCS/CCS - POS &amp; CMS &amp; Boost Cables  Includes 2 Years of Parts Only Warranty</t>
  </si>
  <si>
    <t>CSEV MaxiCharger 120kW DC Fast - CCS/CCS - POS &amp; CMS &amp; Boost Cables</t>
  </si>
  <si>
    <t>CSEV MaxiCharger 120kW DC Fast - CCS/CCS - POS &amp; CMS &amp; Boost Cables.  Includes 2 Years of Parts Only Warranty</t>
  </si>
  <si>
    <t>CSEV MaxiCharger 180kW DC Fast - CCS/CCS - POS &amp; CMS &amp; Boost Cables</t>
  </si>
  <si>
    <t>CSEV MaxiCharger 180kW DC Fast - CCS/CCS - POS &amp; CMS &amp; Boost Cables.  Includes 2 Years of Parts Only Warranty</t>
  </si>
  <si>
    <t>CSEV MaxiCharger 240kW DC Fast - CCS/CCS - POS &amp; CMS &amp; Boost Cables</t>
  </si>
  <si>
    <t>CSEV MaxiCharger 240kW DC Fast - CCS/CCS - POS &amp; CMS &amp; Boost Cables.  Includes 2 Years of Parts Only Warranty</t>
  </si>
  <si>
    <t>CSEV MaxiCharger 60kW DC Fast - CCS/NACS - POS &amp; CMS &amp; Boost Cables</t>
  </si>
  <si>
    <t>CSEV MaxiCharger 60kW DC Fast - CCS/NACS - POS &amp; CMS &amp; Boost Cables.  Includes 2 Years of Parts Only Warranty</t>
  </si>
  <si>
    <t>CSEV MaxiCharger 120kW DC Fast - CCS/NACS - POS &amp; CMS &amp; Boost Cables</t>
  </si>
  <si>
    <t>CSEV MaxiCharger 120kW DC Fast - CCS/NACS - POS &amp; CMS &amp; Boost Cables.  Includes 2 Years of Parts Only Warranty</t>
  </si>
  <si>
    <t>CSEV MaxiCharger 180kW DC Fast - CCS/NACS - POS &amp; CMS &amp; Boost Cables</t>
  </si>
  <si>
    <t>CSEV MaxiCharger 180kW DC Fast - CCS/NACS - POS &amp; CMS &amp; Boost Cables.  Includes 2 Years of Parts Only Warranty</t>
  </si>
  <si>
    <t>CSEV MaxiCharger 240kW DC Fast - CCS/NACS - POS &amp; CMS &amp; Boost Cables</t>
  </si>
  <si>
    <t>CSEV MaxiCharger 240kW DC Fast - CCS/NACS - POS &amp; CMS &amp; Boost Cables.  Includes 2 Years of Parts Only Warranty</t>
  </si>
  <si>
    <t>CSEV DCHP 320kW - CCS/NACS - POS &amp; CMS &amp; Boost Cables</t>
  </si>
  <si>
    <t>CSEV DCHP 320kW - CCS/NACS - POS &amp; CMS &amp; Boost Cables.  Includes 2 Years of Parts Only Warranty</t>
  </si>
  <si>
    <t>EVSE kW @ 208V</t>
  </si>
  <si>
    <t>EVSE kW @ 240V</t>
  </si>
  <si>
    <t>EVSE kW @ 480V</t>
  </si>
  <si>
    <t>N/A</t>
  </si>
  <si>
    <t>Charger Level</t>
  </si>
  <si>
    <t>Level 2</t>
  </si>
  <si>
    <t>DCFC (Level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</si>
</sst>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44" fontId="3" fillId="0" borderId="0" xfId="0" applyNumberFormat="1" applyFont="1"/>
    <xf numFmtId="44" fontId="1" fillId="2" borderId="0" xfId="1" applyFont="1" applyFill="1"/>
    <xf numFmtId="44" fontId="0" fillId="0" borderId="0" xfId="0" applyNumberFormat="1"/>
    <xf numFmtId="44" fontId="1" fillId="0" borderId="0" xfId="1" applyFont="1"/>
    <xf numFmtId="0" fontId="0" fillId="0" borderId="0" xfId="0" applyAlignment="1">
      <alignment wrapText="1"/>
    </xf>
    <xf numFmtId="4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37D8-8444-440D-A515-36E702CE2A40}">
  <dimension ref="A1:S22"/>
  <sheetViews>
    <sheetView tabSelected="1" topLeftCell="G1" zoomScale="85" zoomScaleNormal="85" workbookViewId="0">
      <selection activeCell="C27" sqref="C27"/>
    </sheetView>
  </sheetViews>
  <sheetFormatPr defaultRowHeight="15" x14ac:dyDescent="0.25"/>
  <cols>
    <col min="1" max="1" width="15.7109375" customWidth="1"/>
    <col min="2" max="2" width="73.42578125" bestFit="1" customWidth="1"/>
    <col min="3" max="3" width="73" style="10" customWidth="1"/>
    <col min="4" max="4" width="13.28515625" customWidth="1"/>
    <col min="5" max="5" width="12.28515625" customWidth="1"/>
    <col min="6" max="6" width="7.5703125" customWidth="1"/>
    <col min="7" max="7" width="12.5703125" customWidth="1"/>
    <col min="8" max="8" width="18.42578125" customWidth="1"/>
    <col min="9" max="9" width="16" customWidth="1"/>
    <col min="10" max="10" width="21.5703125" customWidth="1"/>
    <col min="11" max="11" width="15.85546875" customWidth="1"/>
    <col min="12" max="14" width="20.5703125" customWidth="1"/>
    <col min="15" max="15" width="15" customWidth="1"/>
    <col min="16" max="16" width="16.140625" customWidth="1"/>
    <col min="17" max="19" width="17.42578125" bestFit="1" customWidth="1"/>
  </cols>
  <sheetData>
    <row r="1" spans="1:19" x14ac:dyDescent="0.25">
      <c r="A1" s="13" t="s">
        <v>62</v>
      </c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1" t="s">
        <v>14</v>
      </c>
      <c r="Q1" s="11" t="s">
        <v>58</v>
      </c>
      <c r="R1" s="11" t="s">
        <v>59</v>
      </c>
      <c r="S1" s="11" t="s">
        <v>60</v>
      </c>
    </row>
    <row r="2" spans="1:19" ht="30" x14ac:dyDescent="0.25">
      <c r="A2" t="s">
        <v>63</v>
      </c>
      <c r="B2" s="4" t="s">
        <v>15</v>
      </c>
      <c r="C2" s="5" t="s">
        <v>16</v>
      </c>
      <c r="D2" s="4" t="s">
        <v>17</v>
      </c>
      <c r="E2" s="4"/>
      <c r="F2" s="6"/>
      <c r="G2" s="6">
        <v>2750</v>
      </c>
      <c r="H2" s="6">
        <f t="shared" ref="H2:H22" si="0">G2*1.08</f>
        <v>2970</v>
      </c>
      <c r="I2" s="7">
        <v>5323</v>
      </c>
      <c r="J2" s="6">
        <v>500</v>
      </c>
      <c r="K2" s="4">
        <v>2</v>
      </c>
      <c r="L2" s="8">
        <f>J2</f>
        <v>500</v>
      </c>
      <c r="M2" s="8">
        <f>J2*3</f>
        <v>1500</v>
      </c>
      <c r="N2" s="8">
        <f>J2*5</f>
        <v>2500</v>
      </c>
      <c r="O2">
        <v>350</v>
      </c>
      <c r="P2" s="12">
        <v>48</v>
      </c>
      <c r="Q2" s="12">
        <f>ROUND((P2*208)/1000,2)</f>
        <v>9.98</v>
      </c>
      <c r="R2" s="12">
        <f>ROUND((P2*240)/1000,2)</f>
        <v>11.52</v>
      </c>
      <c r="S2" s="12" t="s">
        <v>61</v>
      </c>
    </row>
    <row r="3" spans="1:19" ht="30" x14ac:dyDescent="0.25">
      <c r="A3" t="s">
        <v>63</v>
      </c>
      <c r="B3" s="4" t="s">
        <v>18</v>
      </c>
      <c r="C3" s="5" t="s">
        <v>19</v>
      </c>
      <c r="D3" s="4" t="s">
        <v>17</v>
      </c>
      <c r="E3" s="4"/>
      <c r="F3" s="6"/>
      <c r="G3" s="6">
        <v>1580</v>
      </c>
      <c r="H3" s="6">
        <f t="shared" si="0"/>
        <v>1706.4</v>
      </c>
      <c r="I3" s="9">
        <f>I2-900</f>
        <v>4423</v>
      </c>
      <c r="J3" s="6">
        <v>250</v>
      </c>
      <c r="K3" s="4">
        <v>1</v>
      </c>
      <c r="L3" s="8">
        <f t="shared" ref="L3:L22" si="1">J3</f>
        <v>250</v>
      </c>
      <c r="M3" s="8">
        <f t="shared" ref="M3:M22" si="2">J3*3</f>
        <v>750</v>
      </c>
      <c r="N3" s="8">
        <f t="shared" ref="N3:N22" si="3">J3*5</f>
        <v>1250</v>
      </c>
      <c r="O3">
        <v>350</v>
      </c>
      <c r="P3" s="12">
        <v>48</v>
      </c>
      <c r="Q3" s="12">
        <f t="shared" ref="Q3:Q13" si="4">ROUND((P3*208)/1000,2)</f>
        <v>9.98</v>
      </c>
      <c r="R3" s="12">
        <f t="shared" ref="R3:R13" si="5">ROUND((P3*240)/1000,2)</f>
        <v>11.52</v>
      </c>
      <c r="S3" s="12" t="s">
        <v>61</v>
      </c>
    </row>
    <row r="4" spans="1:19" ht="30" x14ac:dyDescent="0.25">
      <c r="A4" t="s">
        <v>63</v>
      </c>
      <c r="B4" s="4" t="s">
        <v>20</v>
      </c>
      <c r="C4" s="5" t="s">
        <v>21</v>
      </c>
      <c r="D4" s="4" t="s">
        <v>17</v>
      </c>
      <c r="E4" s="4"/>
      <c r="F4" s="6"/>
      <c r="G4" s="6">
        <v>900</v>
      </c>
      <c r="H4" s="6">
        <f t="shared" si="0"/>
        <v>972.00000000000011</v>
      </c>
      <c r="I4" s="6">
        <f>I3-1250</f>
        <v>3173</v>
      </c>
      <c r="J4" s="6">
        <v>250</v>
      </c>
      <c r="K4" s="4">
        <v>1</v>
      </c>
      <c r="L4" s="8">
        <f t="shared" si="1"/>
        <v>250</v>
      </c>
      <c r="M4" s="8">
        <f t="shared" si="2"/>
        <v>750</v>
      </c>
      <c r="N4" s="8">
        <f t="shared" si="3"/>
        <v>1250</v>
      </c>
      <c r="O4">
        <v>350</v>
      </c>
      <c r="P4" s="12">
        <v>48</v>
      </c>
      <c r="Q4" s="12">
        <f t="shared" si="4"/>
        <v>9.98</v>
      </c>
      <c r="R4" s="12">
        <f t="shared" si="5"/>
        <v>11.52</v>
      </c>
      <c r="S4" s="12" t="s">
        <v>61</v>
      </c>
    </row>
    <row r="5" spans="1:19" ht="30" x14ac:dyDescent="0.25">
      <c r="A5" t="s">
        <v>63</v>
      </c>
      <c r="B5" s="4" t="s">
        <v>22</v>
      </c>
      <c r="C5" s="5" t="s">
        <v>23</v>
      </c>
      <c r="D5" s="4" t="s">
        <v>17</v>
      </c>
      <c r="E5" s="4"/>
      <c r="F5" s="6"/>
      <c r="G5" s="6">
        <v>2750</v>
      </c>
      <c r="H5" s="6">
        <f t="shared" si="0"/>
        <v>2970</v>
      </c>
      <c r="I5" s="7">
        <v>5323</v>
      </c>
      <c r="J5" s="6">
        <v>500</v>
      </c>
      <c r="K5" s="4">
        <v>2</v>
      </c>
      <c r="L5" s="8">
        <f t="shared" si="1"/>
        <v>500</v>
      </c>
      <c r="M5" s="8">
        <f t="shared" si="2"/>
        <v>1500</v>
      </c>
      <c r="N5" s="8">
        <f t="shared" si="3"/>
        <v>2500</v>
      </c>
      <c r="O5">
        <v>350</v>
      </c>
      <c r="P5" s="12">
        <v>40</v>
      </c>
      <c r="Q5" s="12">
        <f t="shared" si="4"/>
        <v>8.32</v>
      </c>
      <c r="R5" s="12">
        <f t="shared" si="5"/>
        <v>9.6</v>
      </c>
      <c r="S5" s="12" t="s">
        <v>61</v>
      </c>
    </row>
    <row r="6" spans="1:19" ht="30" x14ac:dyDescent="0.25">
      <c r="A6" t="s">
        <v>63</v>
      </c>
      <c r="B6" s="4" t="s">
        <v>24</v>
      </c>
      <c r="C6" s="5" t="s">
        <v>25</v>
      </c>
      <c r="D6" s="4" t="s">
        <v>17</v>
      </c>
      <c r="E6" s="4"/>
      <c r="F6" s="6"/>
      <c r="G6" s="6">
        <v>1580</v>
      </c>
      <c r="H6" s="6">
        <f t="shared" si="0"/>
        <v>1706.4</v>
      </c>
      <c r="I6" s="9">
        <f>I5-900</f>
        <v>4423</v>
      </c>
      <c r="J6" s="6">
        <v>250</v>
      </c>
      <c r="K6" s="4">
        <v>1</v>
      </c>
      <c r="L6" s="8">
        <f t="shared" si="1"/>
        <v>250</v>
      </c>
      <c r="M6" s="8">
        <f t="shared" si="2"/>
        <v>750</v>
      </c>
      <c r="N6" s="8">
        <f t="shared" si="3"/>
        <v>1250</v>
      </c>
      <c r="O6">
        <v>350</v>
      </c>
      <c r="P6" s="12">
        <v>40</v>
      </c>
      <c r="Q6" s="12">
        <f t="shared" si="4"/>
        <v>8.32</v>
      </c>
      <c r="R6" s="12">
        <f t="shared" si="5"/>
        <v>9.6</v>
      </c>
      <c r="S6" s="12" t="s">
        <v>61</v>
      </c>
    </row>
    <row r="7" spans="1:19" ht="30" x14ac:dyDescent="0.25">
      <c r="A7" t="s">
        <v>63</v>
      </c>
      <c r="B7" s="4" t="s">
        <v>26</v>
      </c>
      <c r="C7" s="5" t="s">
        <v>27</v>
      </c>
      <c r="D7" s="4" t="s">
        <v>17</v>
      </c>
      <c r="E7" s="4"/>
      <c r="F7" s="6"/>
      <c r="G7" s="6">
        <v>900</v>
      </c>
      <c r="H7" s="6">
        <f t="shared" si="0"/>
        <v>972.00000000000011</v>
      </c>
      <c r="I7" s="6">
        <f>I6-1250</f>
        <v>3173</v>
      </c>
      <c r="J7" s="6">
        <v>250</v>
      </c>
      <c r="K7" s="4">
        <v>1</v>
      </c>
      <c r="L7" s="8">
        <f t="shared" si="1"/>
        <v>250</v>
      </c>
      <c r="M7" s="8">
        <f t="shared" si="2"/>
        <v>750</v>
      </c>
      <c r="N7" s="8">
        <f t="shared" si="3"/>
        <v>1250</v>
      </c>
      <c r="O7">
        <v>350</v>
      </c>
      <c r="P7" s="12">
        <v>40</v>
      </c>
      <c r="Q7" s="12">
        <f t="shared" si="4"/>
        <v>8.32</v>
      </c>
      <c r="R7" s="12">
        <f t="shared" si="5"/>
        <v>9.6</v>
      </c>
      <c r="S7" s="12" t="s">
        <v>61</v>
      </c>
    </row>
    <row r="8" spans="1:19" ht="30" x14ac:dyDescent="0.25">
      <c r="A8" t="s">
        <v>63</v>
      </c>
      <c r="B8" s="4" t="s">
        <v>28</v>
      </c>
      <c r="C8" s="5" t="s">
        <v>29</v>
      </c>
      <c r="D8" s="4" t="s">
        <v>17</v>
      </c>
      <c r="E8" s="4"/>
      <c r="F8" s="6"/>
      <c r="G8" s="6">
        <v>2750</v>
      </c>
      <c r="H8" s="6">
        <f t="shared" si="0"/>
        <v>2970</v>
      </c>
      <c r="I8" s="7">
        <v>5323</v>
      </c>
      <c r="J8" s="6">
        <v>500</v>
      </c>
      <c r="K8" s="4">
        <v>2</v>
      </c>
      <c r="L8" s="8">
        <f t="shared" si="1"/>
        <v>500</v>
      </c>
      <c r="M8" s="8">
        <f t="shared" si="2"/>
        <v>1500</v>
      </c>
      <c r="N8" s="8">
        <f t="shared" si="3"/>
        <v>2500</v>
      </c>
      <c r="O8">
        <v>350</v>
      </c>
      <c r="P8" s="12">
        <v>80</v>
      </c>
      <c r="Q8" s="12">
        <f t="shared" si="4"/>
        <v>16.64</v>
      </c>
      <c r="R8" s="12">
        <f t="shared" si="5"/>
        <v>19.2</v>
      </c>
      <c r="S8" s="12" t="s">
        <v>61</v>
      </c>
    </row>
    <row r="9" spans="1:19" ht="30" x14ac:dyDescent="0.25">
      <c r="A9" t="s">
        <v>63</v>
      </c>
      <c r="B9" s="4" t="s">
        <v>30</v>
      </c>
      <c r="C9" s="5" t="s">
        <v>31</v>
      </c>
      <c r="D9" s="4" t="s">
        <v>17</v>
      </c>
      <c r="E9" s="4"/>
      <c r="F9" s="6"/>
      <c r="G9" s="6">
        <v>1580</v>
      </c>
      <c r="H9" s="6">
        <f t="shared" si="0"/>
        <v>1706.4</v>
      </c>
      <c r="I9" s="9">
        <f>I8-900</f>
        <v>4423</v>
      </c>
      <c r="J9" s="6">
        <v>250</v>
      </c>
      <c r="K9" s="4">
        <v>1</v>
      </c>
      <c r="L9" s="8">
        <f t="shared" si="1"/>
        <v>250</v>
      </c>
      <c r="M9" s="8">
        <f t="shared" si="2"/>
        <v>750</v>
      </c>
      <c r="N9" s="8">
        <f t="shared" si="3"/>
        <v>1250</v>
      </c>
      <c r="O9">
        <v>350</v>
      </c>
      <c r="P9" s="12">
        <v>80</v>
      </c>
      <c r="Q9" s="12">
        <f t="shared" si="4"/>
        <v>16.64</v>
      </c>
      <c r="R9" s="12">
        <f t="shared" si="5"/>
        <v>19.2</v>
      </c>
      <c r="S9" s="12" t="s">
        <v>61</v>
      </c>
    </row>
    <row r="10" spans="1:19" ht="30" x14ac:dyDescent="0.25">
      <c r="A10" t="s">
        <v>63</v>
      </c>
      <c r="B10" s="4" t="s">
        <v>32</v>
      </c>
      <c r="C10" s="5" t="s">
        <v>33</v>
      </c>
      <c r="D10" s="4" t="s">
        <v>17</v>
      </c>
      <c r="E10" s="4"/>
      <c r="F10" s="6"/>
      <c r="G10" s="6">
        <v>900</v>
      </c>
      <c r="H10" s="6">
        <f t="shared" si="0"/>
        <v>972.00000000000011</v>
      </c>
      <c r="I10" s="6">
        <f>I9-1250</f>
        <v>3173</v>
      </c>
      <c r="J10" s="6">
        <v>250</v>
      </c>
      <c r="K10" s="4">
        <v>1</v>
      </c>
      <c r="L10" s="8">
        <f t="shared" si="1"/>
        <v>250</v>
      </c>
      <c r="M10" s="8">
        <f t="shared" si="2"/>
        <v>750</v>
      </c>
      <c r="N10" s="8">
        <f t="shared" si="3"/>
        <v>1250</v>
      </c>
      <c r="O10">
        <v>350</v>
      </c>
      <c r="P10" s="12">
        <v>80</v>
      </c>
      <c r="Q10" s="12">
        <f t="shared" si="4"/>
        <v>16.64</v>
      </c>
      <c r="R10" s="12">
        <f t="shared" si="5"/>
        <v>19.2</v>
      </c>
      <c r="S10" s="12" t="s">
        <v>61</v>
      </c>
    </row>
    <row r="11" spans="1:19" ht="30" x14ac:dyDescent="0.25">
      <c r="A11" t="s">
        <v>63</v>
      </c>
      <c r="B11" s="4" t="s">
        <v>34</v>
      </c>
      <c r="C11" s="5" t="s">
        <v>35</v>
      </c>
      <c r="D11" s="4" t="s">
        <v>17</v>
      </c>
      <c r="E11" s="4"/>
      <c r="F11" s="6"/>
      <c r="G11" s="6">
        <v>2750</v>
      </c>
      <c r="H11" s="6">
        <f t="shared" si="0"/>
        <v>2970</v>
      </c>
      <c r="I11" s="7">
        <v>5323</v>
      </c>
      <c r="J11" s="6">
        <v>500</v>
      </c>
      <c r="K11" s="4">
        <v>2</v>
      </c>
      <c r="L11" s="8">
        <f t="shared" si="1"/>
        <v>500</v>
      </c>
      <c r="M11" s="8">
        <f t="shared" si="2"/>
        <v>1500</v>
      </c>
      <c r="N11" s="8">
        <f t="shared" si="3"/>
        <v>2500</v>
      </c>
      <c r="O11">
        <v>350</v>
      </c>
      <c r="P11" s="12">
        <v>32</v>
      </c>
      <c r="Q11" s="12">
        <f t="shared" si="4"/>
        <v>6.66</v>
      </c>
      <c r="R11" s="12">
        <f t="shared" si="5"/>
        <v>7.68</v>
      </c>
      <c r="S11" s="12" t="s">
        <v>61</v>
      </c>
    </row>
    <row r="12" spans="1:19" ht="30" x14ac:dyDescent="0.25">
      <c r="A12" t="s">
        <v>63</v>
      </c>
      <c r="B12" s="4" t="s">
        <v>36</v>
      </c>
      <c r="C12" s="5" t="s">
        <v>37</v>
      </c>
      <c r="D12" s="4" t="s">
        <v>17</v>
      </c>
      <c r="E12" s="4"/>
      <c r="F12" s="6"/>
      <c r="G12" s="6">
        <v>1580</v>
      </c>
      <c r="H12" s="6">
        <f t="shared" si="0"/>
        <v>1706.4</v>
      </c>
      <c r="I12" s="9">
        <f>I11-900</f>
        <v>4423</v>
      </c>
      <c r="J12" s="6">
        <v>250</v>
      </c>
      <c r="K12" s="4">
        <v>1</v>
      </c>
      <c r="L12" s="8">
        <f t="shared" si="1"/>
        <v>250</v>
      </c>
      <c r="M12" s="8">
        <f t="shared" si="2"/>
        <v>750</v>
      </c>
      <c r="N12" s="8">
        <f t="shared" si="3"/>
        <v>1250</v>
      </c>
      <c r="O12">
        <v>350</v>
      </c>
      <c r="P12" s="12">
        <v>32</v>
      </c>
      <c r="Q12" s="12">
        <f t="shared" si="4"/>
        <v>6.66</v>
      </c>
      <c r="R12" s="12">
        <f t="shared" si="5"/>
        <v>7.68</v>
      </c>
      <c r="S12" s="12" t="s">
        <v>61</v>
      </c>
    </row>
    <row r="13" spans="1:19" ht="30" x14ac:dyDescent="0.25">
      <c r="A13" t="s">
        <v>63</v>
      </c>
      <c r="B13" s="4" t="s">
        <v>38</v>
      </c>
      <c r="C13" s="5" t="s">
        <v>39</v>
      </c>
      <c r="D13" s="4" t="s">
        <v>17</v>
      </c>
      <c r="E13" s="4"/>
      <c r="F13" s="6"/>
      <c r="G13" s="6">
        <v>900</v>
      </c>
      <c r="H13" s="6">
        <f t="shared" si="0"/>
        <v>972.00000000000011</v>
      </c>
      <c r="I13" s="6">
        <f>I12-1250</f>
        <v>3173</v>
      </c>
      <c r="J13" s="6">
        <v>250</v>
      </c>
      <c r="K13" s="4">
        <v>1</v>
      </c>
      <c r="L13" s="8">
        <f t="shared" si="1"/>
        <v>250</v>
      </c>
      <c r="M13" s="8">
        <f t="shared" si="2"/>
        <v>750</v>
      </c>
      <c r="N13" s="8">
        <f t="shared" si="3"/>
        <v>1250</v>
      </c>
      <c r="O13">
        <v>350</v>
      </c>
      <c r="P13" s="12">
        <v>32</v>
      </c>
      <c r="Q13" s="12">
        <f t="shared" si="4"/>
        <v>6.66</v>
      </c>
      <c r="R13" s="12">
        <f t="shared" si="5"/>
        <v>7.68</v>
      </c>
      <c r="S13" s="12" t="s">
        <v>61</v>
      </c>
    </row>
    <row r="14" spans="1:19" ht="30" x14ac:dyDescent="0.25">
      <c r="A14" t="s">
        <v>64</v>
      </c>
      <c r="B14" s="4" t="s">
        <v>40</v>
      </c>
      <c r="C14" s="5" t="s">
        <v>41</v>
      </c>
      <c r="D14" s="4" t="s">
        <v>17</v>
      </c>
      <c r="E14" s="4"/>
      <c r="F14" s="6"/>
      <c r="G14" s="6">
        <f>36072</f>
        <v>36072</v>
      </c>
      <c r="H14" s="6">
        <f t="shared" si="0"/>
        <v>38957.760000000002</v>
      </c>
      <c r="I14" s="6">
        <f t="shared" ref="I14:I22" si="6">G14/0.75</f>
        <v>48096</v>
      </c>
      <c r="J14" s="6">
        <v>680</v>
      </c>
      <c r="K14" s="4">
        <v>2</v>
      </c>
      <c r="L14" s="8">
        <f t="shared" si="1"/>
        <v>680</v>
      </c>
      <c r="M14" s="8">
        <f t="shared" si="2"/>
        <v>2040</v>
      </c>
      <c r="N14" s="8">
        <f t="shared" si="3"/>
        <v>3400</v>
      </c>
      <c r="O14">
        <v>1250</v>
      </c>
      <c r="P14" s="12" t="s">
        <v>61</v>
      </c>
      <c r="Q14" s="12" t="s">
        <v>61</v>
      </c>
      <c r="R14" s="12" t="s">
        <v>61</v>
      </c>
      <c r="S14" s="12">
        <v>60</v>
      </c>
    </row>
    <row r="15" spans="1:19" ht="30" x14ac:dyDescent="0.25">
      <c r="A15" t="s">
        <v>64</v>
      </c>
      <c r="B15" s="4" t="s">
        <v>42</v>
      </c>
      <c r="C15" s="5" t="s">
        <v>43</v>
      </c>
      <c r="D15" s="4" t="s">
        <v>17</v>
      </c>
      <c r="E15" s="4"/>
      <c r="F15" s="6"/>
      <c r="G15" s="6">
        <v>39096</v>
      </c>
      <c r="H15" s="6">
        <f t="shared" si="0"/>
        <v>42223.68</v>
      </c>
      <c r="I15" s="6">
        <f t="shared" si="6"/>
        <v>52128</v>
      </c>
      <c r="J15" s="6">
        <v>680</v>
      </c>
      <c r="K15" s="4">
        <v>2</v>
      </c>
      <c r="L15" s="8">
        <f t="shared" si="1"/>
        <v>680</v>
      </c>
      <c r="M15" s="8">
        <f t="shared" si="2"/>
        <v>2040</v>
      </c>
      <c r="N15" s="8">
        <f t="shared" si="3"/>
        <v>3400</v>
      </c>
      <c r="O15">
        <v>1250</v>
      </c>
      <c r="P15" s="12" t="s">
        <v>61</v>
      </c>
      <c r="Q15" s="12" t="s">
        <v>61</v>
      </c>
      <c r="R15" s="12" t="s">
        <v>61</v>
      </c>
      <c r="S15" s="12">
        <v>120</v>
      </c>
    </row>
    <row r="16" spans="1:19" ht="30" x14ac:dyDescent="0.25">
      <c r="A16" t="s">
        <v>64</v>
      </c>
      <c r="B16" s="4" t="s">
        <v>44</v>
      </c>
      <c r="C16" s="5" t="s">
        <v>45</v>
      </c>
      <c r="D16" s="4" t="s">
        <v>17</v>
      </c>
      <c r="E16" s="4"/>
      <c r="F16" s="6"/>
      <c r="G16" s="6">
        <v>48276</v>
      </c>
      <c r="H16" s="6">
        <f t="shared" si="0"/>
        <v>52138.080000000002</v>
      </c>
      <c r="I16" s="6">
        <f t="shared" si="6"/>
        <v>64368</v>
      </c>
      <c r="J16" s="6">
        <v>680</v>
      </c>
      <c r="K16" s="4">
        <v>2</v>
      </c>
      <c r="L16" s="8">
        <f t="shared" si="1"/>
        <v>680</v>
      </c>
      <c r="M16" s="8">
        <f t="shared" si="2"/>
        <v>2040</v>
      </c>
      <c r="N16" s="8">
        <f t="shared" si="3"/>
        <v>3400</v>
      </c>
      <c r="O16">
        <v>1250</v>
      </c>
      <c r="P16" s="12" t="s">
        <v>61</v>
      </c>
      <c r="Q16" s="12" t="s">
        <v>61</v>
      </c>
      <c r="R16" s="12" t="s">
        <v>61</v>
      </c>
      <c r="S16" s="12">
        <v>180</v>
      </c>
    </row>
    <row r="17" spans="1:19" ht="30" x14ac:dyDescent="0.25">
      <c r="A17" t="s">
        <v>64</v>
      </c>
      <c r="B17" s="4" t="s">
        <v>46</v>
      </c>
      <c r="C17" s="5" t="s">
        <v>47</v>
      </c>
      <c r="D17" s="4" t="s">
        <v>17</v>
      </c>
      <c r="E17" s="4"/>
      <c r="F17" s="6"/>
      <c r="G17" s="6">
        <v>59400</v>
      </c>
      <c r="H17" s="6">
        <f t="shared" si="0"/>
        <v>64152.000000000007</v>
      </c>
      <c r="I17" s="6">
        <f t="shared" si="6"/>
        <v>79200</v>
      </c>
      <c r="J17" s="6">
        <v>680</v>
      </c>
      <c r="K17" s="4">
        <v>2</v>
      </c>
      <c r="L17" s="8">
        <f t="shared" si="1"/>
        <v>680</v>
      </c>
      <c r="M17" s="8">
        <f t="shared" si="2"/>
        <v>2040</v>
      </c>
      <c r="N17" s="8">
        <f t="shared" si="3"/>
        <v>3400</v>
      </c>
      <c r="O17">
        <v>1250</v>
      </c>
      <c r="P17" s="12" t="s">
        <v>61</v>
      </c>
      <c r="Q17" s="12" t="s">
        <v>61</v>
      </c>
      <c r="R17" s="12" t="s">
        <v>61</v>
      </c>
      <c r="S17" s="12">
        <v>240</v>
      </c>
    </row>
    <row r="18" spans="1:19" ht="30" x14ac:dyDescent="0.25">
      <c r="A18" t="s">
        <v>64</v>
      </c>
      <c r="B18" s="4" t="s">
        <v>48</v>
      </c>
      <c r="C18" s="5" t="s">
        <v>49</v>
      </c>
      <c r="D18" s="4" t="s">
        <v>17</v>
      </c>
      <c r="E18" s="4"/>
      <c r="F18" s="6"/>
      <c r="G18" s="6">
        <f>36072</f>
        <v>36072</v>
      </c>
      <c r="H18" s="6">
        <f t="shared" si="0"/>
        <v>38957.760000000002</v>
      </c>
      <c r="I18" s="6">
        <f t="shared" si="6"/>
        <v>48096</v>
      </c>
      <c r="J18" s="6">
        <v>680</v>
      </c>
      <c r="K18" s="4">
        <v>2</v>
      </c>
      <c r="L18" s="8">
        <f t="shared" si="1"/>
        <v>680</v>
      </c>
      <c r="M18" s="8">
        <f t="shared" si="2"/>
        <v>2040</v>
      </c>
      <c r="N18" s="8">
        <f t="shared" si="3"/>
        <v>3400</v>
      </c>
      <c r="O18">
        <v>1250</v>
      </c>
      <c r="P18" s="12" t="s">
        <v>61</v>
      </c>
      <c r="Q18" s="12" t="s">
        <v>61</v>
      </c>
      <c r="R18" s="12" t="s">
        <v>61</v>
      </c>
      <c r="S18" s="12">
        <v>60</v>
      </c>
    </row>
    <row r="19" spans="1:19" ht="30" x14ac:dyDescent="0.25">
      <c r="A19" t="s">
        <v>64</v>
      </c>
      <c r="B19" s="4" t="s">
        <v>50</v>
      </c>
      <c r="C19" s="5" t="s">
        <v>51</v>
      </c>
      <c r="D19" s="4" t="s">
        <v>17</v>
      </c>
      <c r="E19" s="4"/>
      <c r="F19" s="6"/>
      <c r="G19" s="6">
        <v>39096</v>
      </c>
      <c r="H19" s="6">
        <f t="shared" si="0"/>
        <v>42223.68</v>
      </c>
      <c r="I19" s="6">
        <f t="shared" si="6"/>
        <v>52128</v>
      </c>
      <c r="J19" s="6">
        <v>680</v>
      </c>
      <c r="K19" s="4">
        <v>2</v>
      </c>
      <c r="L19" s="8">
        <f t="shared" si="1"/>
        <v>680</v>
      </c>
      <c r="M19" s="8">
        <f t="shared" si="2"/>
        <v>2040</v>
      </c>
      <c r="N19" s="8">
        <f t="shared" si="3"/>
        <v>3400</v>
      </c>
      <c r="O19">
        <v>1250</v>
      </c>
      <c r="P19" s="12" t="s">
        <v>61</v>
      </c>
      <c r="Q19" s="12" t="s">
        <v>61</v>
      </c>
      <c r="R19" s="12" t="s">
        <v>61</v>
      </c>
      <c r="S19" s="12">
        <v>120</v>
      </c>
    </row>
    <row r="20" spans="1:19" ht="30" x14ac:dyDescent="0.25">
      <c r="A20" t="s">
        <v>64</v>
      </c>
      <c r="B20" s="4" t="s">
        <v>52</v>
      </c>
      <c r="C20" s="5" t="s">
        <v>53</v>
      </c>
      <c r="D20" s="4" t="s">
        <v>17</v>
      </c>
      <c r="E20" s="4"/>
      <c r="F20" s="6"/>
      <c r="G20" s="6">
        <v>48276</v>
      </c>
      <c r="H20" s="6">
        <f t="shared" si="0"/>
        <v>52138.080000000002</v>
      </c>
      <c r="I20" s="6">
        <f t="shared" si="6"/>
        <v>64368</v>
      </c>
      <c r="J20" s="6">
        <v>680</v>
      </c>
      <c r="K20" s="4">
        <v>2</v>
      </c>
      <c r="L20" s="8">
        <f t="shared" si="1"/>
        <v>680</v>
      </c>
      <c r="M20" s="8">
        <f t="shared" si="2"/>
        <v>2040</v>
      </c>
      <c r="N20" s="8">
        <f t="shared" si="3"/>
        <v>3400</v>
      </c>
      <c r="O20">
        <v>1250</v>
      </c>
      <c r="P20" s="12" t="s">
        <v>61</v>
      </c>
      <c r="Q20" s="12" t="s">
        <v>61</v>
      </c>
      <c r="R20" s="12" t="s">
        <v>61</v>
      </c>
      <c r="S20" s="12">
        <v>180</v>
      </c>
    </row>
    <row r="21" spans="1:19" ht="30" x14ac:dyDescent="0.25">
      <c r="A21" t="s">
        <v>64</v>
      </c>
      <c r="B21" s="4" t="s">
        <v>54</v>
      </c>
      <c r="C21" s="5" t="s">
        <v>55</v>
      </c>
      <c r="D21" s="4" t="s">
        <v>17</v>
      </c>
      <c r="E21" s="4"/>
      <c r="F21" s="6"/>
      <c r="G21" s="6">
        <v>59400</v>
      </c>
      <c r="H21" s="6">
        <f t="shared" si="0"/>
        <v>64152.000000000007</v>
      </c>
      <c r="I21" s="6">
        <f t="shared" si="6"/>
        <v>79200</v>
      </c>
      <c r="J21" s="6">
        <v>680</v>
      </c>
      <c r="K21" s="4">
        <v>2</v>
      </c>
      <c r="L21" s="8">
        <f t="shared" si="1"/>
        <v>680</v>
      </c>
      <c r="M21" s="8">
        <f t="shared" si="2"/>
        <v>2040</v>
      </c>
      <c r="N21" s="8">
        <f t="shared" si="3"/>
        <v>3400</v>
      </c>
      <c r="O21">
        <v>1250</v>
      </c>
      <c r="P21" s="12" t="s">
        <v>61</v>
      </c>
      <c r="Q21" s="12" t="s">
        <v>61</v>
      </c>
      <c r="R21" s="12" t="s">
        <v>61</v>
      </c>
      <c r="S21" s="12">
        <v>240</v>
      </c>
    </row>
    <row r="22" spans="1:19" ht="30" x14ac:dyDescent="0.25">
      <c r="A22" t="s">
        <v>64</v>
      </c>
      <c r="B22" s="4" t="s">
        <v>56</v>
      </c>
      <c r="C22" s="5" t="s">
        <v>57</v>
      </c>
      <c r="D22" s="4" t="s">
        <v>17</v>
      </c>
      <c r="G22" s="6">
        <v>147700</v>
      </c>
      <c r="H22" s="6">
        <f t="shared" si="0"/>
        <v>159516</v>
      </c>
      <c r="I22" s="6">
        <f t="shared" si="6"/>
        <v>196933.33333333334</v>
      </c>
      <c r="J22" s="6">
        <v>680</v>
      </c>
      <c r="K22" s="4">
        <v>4</v>
      </c>
      <c r="L22" s="8">
        <f t="shared" si="1"/>
        <v>680</v>
      </c>
      <c r="M22" s="8">
        <f t="shared" si="2"/>
        <v>2040</v>
      </c>
      <c r="N22" s="8">
        <f t="shared" si="3"/>
        <v>3400</v>
      </c>
      <c r="O22">
        <v>1250</v>
      </c>
      <c r="P22" s="12" t="s">
        <v>61</v>
      </c>
      <c r="Q22" s="12" t="s">
        <v>61</v>
      </c>
      <c r="R22" s="12" t="s">
        <v>61</v>
      </c>
      <c r="S22" s="12">
        <v>320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EVSE Price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Valle</dc:creator>
  <cp:lastModifiedBy>Alex Valle</cp:lastModifiedBy>
  <dcterms:created xsi:type="dcterms:W3CDTF">2026-01-27T19:22:19Z</dcterms:created>
  <dcterms:modified xsi:type="dcterms:W3CDTF">2026-01-27T19:34:30Z</dcterms:modified>
</cp:coreProperties>
</file>