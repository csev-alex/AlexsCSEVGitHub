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ndr\Desktop\"/>
    </mc:Choice>
  </mc:AlternateContent>
  <xr:revisionPtr revIDLastSave="0" documentId="13_ncr:1_{44EC9D0D-9FAF-463A-BC81-E216160D96B4}" xr6:coauthVersionLast="47" xr6:coauthVersionMax="47" xr10:uidLastSave="{00000000-0000-0000-0000-000000000000}"/>
  <bookViews>
    <workbookView xWindow="10830" yWindow="3555" windowWidth="29235" windowHeight="15360" activeTab="1" xr2:uid="{00000000-000D-0000-FFFF-FFFF00000000}"/>
  </bookViews>
  <sheets>
    <sheet name="README" sheetId="1" r:id="rId1"/>
    <sheet name="Inputs" sheetId="2" r:id="rId2"/>
    <sheet name="Calc" sheetId="3" r:id="rId3"/>
    <sheet name="R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/>
  <c r="J37" i="2"/>
  <c r="I37" i="2"/>
  <c r="H37" i="2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12" i="4"/>
  <c r="B36" i="2"/>
  <c r="B35" i="2"/>
  <c r="B22" i="3" s="1"/>
  <c r="B34" i="2"/>
  <c r="B21" i="3" s="1"/>
  <c r="B33" i="2"/>
  <c r="B20" i="3" s="1"/>
  <c r="F37" i="2"/>
  <c r="B26" i="2" s="1"/>
  <c r="B7" i="2"/>
  <c r="B19" i="3"/>
  <c r="B23" i="3" s="1"/>
  <c r="B5" i="3"/>
  <c r="B4" i="3"/>
  <c r="B16" i="3" s="1"/>
  <c r="D20" i="2"/>
  <c r="D19" i="2"/>
  <c r="D18" i="2"/>
  <c r="D17" i="2"/>
  <c r="D16" i="2"/>
  <c r="D15" i="2"/>
  <c r="D14" i="2"/>
  <c r="D13" i="2"/>
  <c r="D12" i="2"/>
  <c r="D11" i="2"/>
  <c r="D21" i="2" s="1"/>
  <c r="D23" i="2" s="1"/>
  <c r="D28" i="2" s="1"/>
  <c r="D38" i="2" l="1"/>
  <c r="E26" i="3" s="1"/>
  <c r="B35" i="3"/>
  <c r="D29" i="2"/>
  <c r="B6" i="3" s="1"/>
  <c r="B24" i="3"/>
  <c r="B36" i="3" l="1"/>
  <c r="B8" i="3"/>
  <c r="B30" i="3" s="1"/>
  <c r="D30" i="2"/>
  <c r="B7" i="3" s="1"/>
  <c r="B11" i="3" l="1"/>
  <c r="B15" i="3" s="1"/>
  <c r="B14" i="3" l="1"/>
  <c r="B13" i="3"/>
  <c r="B12" i="3"/>
  <c r="B26" i="3" s="1"/>
  <c r="B27" i="3" l="1"/>
  <c r="B28" i="3" l="1"/>
  <c r="B31" i="3" s="1"/>
  <c r="B32" i="3" s="1"/>
  <c r="E27" i="3"/>
</calcChain>
</file>

<file path=xl/sharedStrings.xml><?xml version="1.0" encoding="utf-8"?>
<sst xmlns="http://schemas.openxmlformats.org/spreadsheetml/2006/main" count="158" uniqueCount="125">
  <si>
    <t>EV Phase-In Rate (EV PIR) – Excel Estimator</t>
  </si>
  <si>
    <t>How to use</t>
  </si>
  <si>
    <t>1) Go to the Inputs sheet.
2) Enter your Service Class, metering type, charger counts/kW, and 12‑month energy (kWh).
3) Enter billing‑period peak demand (kW) and kWh by TOU bucket (On/Off/Super).
4) Review results on the Calc sheet.</t>
  </si>
  <si>
    <t>What this workbook estimates</t>
  </si>
  <si>
    <t>• Load Factor and EV PIR Tier (Tier 1–4) based on the guide’s tier thresholds.
• The EV PIR replacement for the Delivery Demand line item: (reduced demand $/kW) + (TOU energy $/kWh).
• A comparison to the standard demand charge using the sample standard $/kW from the guide.
Notes:
• The rate tables in this file are sample/illustrative (as of July 2025 in the guide) and update monthly on bills.
• This workbook does NOT include other bill components (customer charge, surcharges, taxes, supply charges unless you enter a supply $/kWh).</t>
  </si>
  <si>
    <t>Inputs (blue/yellow cells) – EV PIR Estimator</t>
  </si>
  <si>
    <t>General</t>
  </si>
  <si>
    <t>Service Class (National Grid NY)</t>
  </si>
  <si>
    <t>SC-2D</t>
  </si>
  <si>
    <t>Pick from dropdown</t>
  </si>
  <si>
    <t>Metering</t>
  </si>
  <si>
    <t>Separately metered (EV only)</t>
  </si>
  <si>
    <t>Season for Billing Period</t>
  </si>
  <si>
    <t>Summer = Jun–Sep</t>
  </si>
  <si>
    <t>Hours in 12‑month period (default 8,760)</t>
  </si>
  <si>
    <t>Charger Inventory</t>
  </si>
  <si>
    <t>Charger group</t>
  </si>
  <si>
    <t>Qty</t>
  </si>
  <si>
    <t>kW per charger</t>
  </si>
  <si>
    <t>Group kW</t>
  </si>
  <si>
    <t>Total nameplate kW</t>
  </si>
  <si>
    <t>Load management limit (kW) (optional)</t>
  </si>
  <si>
    <t>Effective EV max kW</t>
  </si>
  <si>
    <t>12‑Month Load Factor (for Tier assignment)</t>
  </si>
  <si>
    <t>Total EV kWh used in last 12 months</t>
  </si>
  <si>
    <t>Max demand reading in last 12 months (kW) (only if NOT separately metered)</t>
  </si>
  <si>
    <t>Denominator kW used for Load Factor</t>
  </si>
  <si>
    <t>Load Factor</t>
  </si>
  <si>
    <t>EV PIR Tier</t>
  </si>
  <si>
    <t>Billing Period Inputs (for cost estimate)</t>
  </si>
  <si>
    <t>Billing period peak demand (kW)</t>
  </si>
  <si>
    <t>Billing period kWh – On‑Peak</t>
  </si>
  <si>
    <t>Billing period kWh – Off‑Peak</t>
  </si>
  <si>
    <t>Billing period kWh – Super‑Peak (Summer only)</t>
  </si>
  <si>
    <t>Optional Supply $/kWh (set 0 to ignore)</t>
  </si>
  <si>
    <t>Total billing kWh</t>
  </si>
  <si>
    <t>Results</t>
  </si>
  <si>
    <t>Tier &amp; Load Factor</t>
  </si>
  <si>
    <t>Service Class</t>
  </si>
  <si>
    <t>12‑month Load Factor</t>
  </si>
  <si>
    <t>EV PIR Tier (from Load Factor)</t>
  </si>
  <si>
    <t>Tier number (0=Standard)</t>
  </si>
  <si>
    <t>Rate Lookup (from Rates sheet)</t>
  </si>
  <si>
    <t>EV PIR rate key</t>
  </si>
  <si>
    <t>Demand rate ($/kW)</t>
  </si>
  <si>
    <t>On‑Peak ($/kWh)</t>
  </si>
  <si>
    <t>Off‑Peak ($/kWh)</t>
  </si>
  <si>
    <t>Super‑Peak ($/kWh)</t>
  </si>
  <si>
    <t>Standard demand rate ($/kW) (Tier 0)</t>
  </si>
  <si>
    <t>Billing Period Cost Estimate (Delivery demand line item)</t>
  </si>
  <si>
    <t>Season</t>
  </si>
  <si>
    <t>Peak demand (kW)</t>
  </si>
  <si>
    <t>On kWh</t>
  </si>
  <si>
    <t>Off kWh</t>
  </si>
  <si>
    <t>Super kWh (effective)</t>
  </si>
  <si>
    <t>Total kWh</t>
  </si>
  <si>
    <t>EV PIR demand charge ($)</t>
  </si>
  <si>
    <t>EV PIR TOU energy charge ($)</t>
  </si>
  <si>
    <t>EV PIR total ($)</t>
  </si>
  <si>
    <t>EV PIR vs Standard (difference $)</t>
  </si>
  <si>
    <t>EV PIR vs Standard (% difference)</t>
  </si>
  <si>
    <t>Optional Supply Energy Cost</t>
  </si>
  <si>
    <t>Supply $/kWh</t>
  </si>
  <si>
    <t>Supply cost ($)</t>
  </si>
  <si>
    <t>Sample EV PIR Rate Table (from guide; update monthly on bills)</t>
  </si>
  <si>
    <t>Key</t>
  </si>
  <si>
    <t>Tier</t>
  </si>
  <si>
    <t>Demand $/kW</t>
  </si>
  <si>
    <t>On $/kWh</t>
  </si>
  <si>
    <t>Off $/kWh</t>
  </si>
  <si>
    <t>Super $/kWh</t>
  </si>
  <si>
    <t>SC-2D|0</t>
  </si>
  <si>
    <t>SC-2D|1</t>
  </si>
  <si>
    <t>SC-2D|2</t>
  </si>
  <si>
    <t>SC-2D|3</t>
  </si>
  <si>
    <t>SC-2D|4</t>
  </si>
  <si>
    <t>SC-3 Secondary|0</t>
  </si>
  <si>
    <t>SC-3 Secondary</t>
  </si>
  <si>
    <t>SC-3 Secondary|1</t>
  </si>
  <si>
    <t>SC-3 Secondary|2</t>
  </si>
  <si>
    <t>SC-3 Secondary|3</t>
  </si>
  <si>
    <t>SC-3 Secondary|4</t>
  </si>
  <si>
    <t>SC-3 Primary|0</t>
  </si>
  <si>
    <t>SC-3 Primary</t>
  </si>
  <si>
    <t>SC-3 Primary|1</t>
  </si>
  <si>
    <t>SC-3 Primary|2</t>
  </si>
  <si>
    <t>SC-3 Primary|3</t>
  </si>
  <si>
    <t>SC-3 Primary|4</t>
  </si>
  <si>
    <t>SC-3 SubT/Trans|0</t>
  </si>
  <si>
    <t>SC-3 SubT/Trans</t>
  </si>
  <si>
    <t>SC-3 SubT/Trans|1</t>
  </si>
  <si>
    <t>SC-3 SubT/Trans|2</t>
  </si>
  <si>
    <t>SC-3 SubT/Trans|3</t>
  </si>
  <si>
    <t>SC-3 SubT/Trans|4</t>
  </si>
  <si>
    <t>SC-3A Sec/Pri|0</t>
  </si>
  <si>
    <t>SC-3A Sec/Pri</t>
  </si>
  <si>
    <t>SC-3A Sec/Pri|1</t>
  </si>
  <si>
    <t>SC-3A Sec/Pri|2</t>
  </si>
  <si>
    <t>SC-3A Sec/Pri|3</t>
  </si>
  <si>
    <t>SC-3A Sec/Pri|4</t>
  </si>
  <si>
    <t>SC-3A SubT|0</t>
  </si>
  <si>
    <t>SC-3A SubT</t>
  </si>
  <si>
    <t>SC-3A SubT|1</t>
  </si>
  <si>
    <t>SC-3A SubT|2</t>
  </si>
  <si>
    <t>SC-3A SubT|3</t>
  </si>
  <si>
    <t>SC-3A SubT|4</t>
  </si>
  <si>
    <t>SC-3A Trans|0</t>
  </si>
  <si>
    <t>SC-3A Trans</t>
  </si>
  <si>
    <t>SC-3A Trans|1</t>
  </si>
  <si>
    <t>SC-3A Trans|2</t>
  </si>
  <si>
    <t>SC-3A Trans|3</t>
  </si>
  <si>
    <t>SC-3A Trans|4</t>
  </si>
  <si>
    <t>Peak Ports Used</t>
  </si>
  <si>
    <t>Hours Per Day</t>
  </si>
  <si>
    <t>Days in Month</t>
  </si>
  <si>
    <t>Avg Daily Ports Used</t>
  </si>
  <si>
    <t>Total Daily Hours in Use</t>
  </si>
  <si>
    <t>Winter</t>
  </si>
  <si>
    <t>per kWh</t>
  </si>
  <si>
    <t>Gross</t>
  </si>
  <si>
    <t>Net</t>
  </si>
  <si>
    <t>Potential Monthly Earnings</t>
  </si>
  <si>
    <t>DCFC HiPower Units - 8 Plugs</t>
  </si>
  <si>
    <t>Time per session (min)</t>
  </si>
  <si>
    <t>Avg # of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</si>
</sst>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#,##0.0000"/>
    <numFmt numFmtId="165" formatCode="#,##0.00000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6"/>
      <name val="Aptos"/>
      <family val="2"/>
    </font>
    <font>
      <b/>
      <sz val="11"/>
      <name val="Aptos"/>
      <family val="2"/>
    </font>
    <font>
      <i/>
      <sz val="10"/>
      <color rgb="FF555555"/>
      <name val="Aptos"/>
      <family val="2"/>
    </font>
    <font>
      <sz val="11"/>
      <color rgb="FF0000FF"/>
      <name val="Aptos"/>
      <family val="2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FF2CC"/>
      </patternFill>
    </fill>
    <fill>
      <patternFill patternType="solid">
        <fgColor rgb="FFB7E1CD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4" fillId="3" borderId="1" xfId="0" applyNumberFormat="1" applyFont="1" applyFill="1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2" fillId="0" borderId="0" xfId="0" applyFont="1"/>
    <xf numFmtId="10" fontId="0" fillId="0" borderId="1" xfId="0" applyNumberFormat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165" fontId="0" fillId="0" borderId="0" xfId="0" applyNumberFormat="1"/>
    <xf numFmtId="0" fontId="6" fillId="0" borderId="0" xfId="0" applyFont="1" applyAlignment="1">
      <alignment horizontal="center"/>
    </xf>
    <xf numFmtId="8" fontId="0" fillId="0" borderId="0" xfId="0" applyNumberFormat="1"/>
    <xf numFmtId="164" fontId="7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</xdr:col>
      <xdr:colOff>5677878</xdr:colOff>
      <xdr:row>31</xdr:row>
      <xdr:rowOff>9845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E73DA-A848-72AA-456C-76085EBC1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81425"/>
          <a:ext cx="7011378" cy="2295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5944616</xdr:colOff>
      <xdr:row>64</xdr:row>
      <xdr:rowOff>134193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AD21E-A76B-78D3-951F-AA585EA07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48425"/>
          <a:ext cx="7278116" cy="6039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workbookViewId="0">
      <selection activeCell="F39" sqref="F39"/>
    </sheetView>
  </sheetViews>
  <sheetFormatPr defaultRowHeight="15" x14ac:dyDescent="0.25"/>
  <cols>
    <col min="1" max="1" width="20" customWidth="1"/>
    <col min="2" max="2" width="95" customWidth="1"/>
  </cols>
  <sheetData>
    <row r="1" spans="1:2" ht="27.95" customHeight="1" x14ac:dyDescent="0.25">
      <c r="A1" s="27" t="s">
        <v>0</v>
      </c>
      <c r="B1" s="25"/>
    </row>
    <row r="3" spans="1:2" x14ac:dyDescent="0.25">
      <c r="A3" s="26" t="s">
        <v>1</v>
      </c>
      <c r="B3" s="25"/>
    </row>
    <row r="4" spans="1:2" x14ac:dyDescent="0.25">
      <c r="A4" s="24" t="s">
        <v>2</v>
      </c>
      <c r="B4" s="25"/>
    </row>
    <row r="5" spans="1:2" x14ac:dyDescent="0.25">
      <c r="A5" s="25"/>
      <c r="B5" s="25"/>
    </row>
    <row r="6" spans="1:2" x14ac:dyDescent="0.25">
      <c r="A6" s="25"/>
      <c r="B6" s="25"/>
    </row>
    <row r="7" spans="1:2" x14ac:dyDescent="0.25">
      <c r="A7" s="25"/>
      <c r="B7" s="25"/>
    </row>
    <row r="8" spans="1:2" x14ac:dyDescent="0.25">
      <c r="A8" s="25"/>
      <c r="B8" s="25"/>
    </row>
    <row r="10" spans="1:2" x14ac:dyDescent="0.25">
      <c r="A10" s="26" t="s">
        <v>3</v>
      </c>
      <c r="B10" s="25"/>
    </row>
    <row r="11" spans="1:2" x14ac:dyDescent="0.25">
      <c r="A11" s="24" t="s">
        <v>4</v>
      </c>
      <c r="B11" s="25"/>
    </row>
    <row r="12" spans="1:2" x14ac:dyDescent="0.25">
      <c r="A12" s="25"/>
      <c r="B12" s="25"/>
    </row>
    <row r="13" spans="1:2" x14ac:dyDescent="0.25">
      <c r="A13" s="25"/>
      <c r="B13" s="25"/>
    </row>
    <row r="14" spans="1:2" x14ac:dyDescent="0.25">
      <c r="A14" s="25"/>
      <c r="B14" s="25"/>
    </row>
    <row r="15" spans="1:2" x14ac:dyDescent="0.25">
      <c r="A15" s="25"/>
      <c r="B15" s="25"/>
    </row>
    <row r="16" spans="1:2" x14ac:dyDescent="0.25">
      <c r="A16" s="25"/>
      <c r="B16" s="25"/>
    </row>
    <row r="17" spans="1:2" x14ac:dyDescent="0.25">
      <c r="A17" s="25"/>
      <c r="B17" s="25"/>
    </row>
    <row r="18" spans="1:2" x14ac:dyDescent="0.25">
      <c r="A18" s="25"/>
      <c r="B18" s="25"/>
    </row>
    <row r="19" spans="1:2" x14ac:dyDescent="0.25">
      <c r="A19" s="25"/>
      <c r="B19" s="25"/>
    </row>
  </sheetData>
  <mergeCells count="5">
    <mergeCell ref="A4:B8"/>
    <mergeCell ref="A10:B10"/>
    <mergeCell ref="A11:B19"/>
    <mergeCell ref="A1:B1"/>
    <mergeCell ref="A3:B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showGridLines="0" tabSelected="1" workbookViewId="0">
      <pane ySplit="3" topLeftCell="A7" activePane="bottomLeft" state="frozen"/>
      <selection pane="bottomLeft" activeCell="M37" sqref="M37"/>
    </sheetView>
  </sheetViews>
  <sheetFormatPr defaultRowHeight="15" x14ac:dyDescent="0.25"/>
  <cols>
    <col min="1" max="1" width="76.42578125" bestFit="1" customWidth="1"/>
    <col min="2" max="2" width="34" customWidth="1"/>
    <col min="3" max="3" width="20" customWidth="1"/>
    <col min="4" max="4" width="24" customWidth="1"/>
    <col min="5" max="5" width="16" customWidth="1"/>
    <col min="6" max="6" width="20" bestFit="1" customWidth="1"/>
    <col min="7" max="7" width="19.28515625" bestFit="1" customWidth="1"/>
  </cols>
  <sheetData>
    <row r="1" spans="1:7" ht="27.95" customHeight="1" x14ac:dyDescent="0.25">
      <c r="A1" s="27" t="s">
        <v>5</v>
      </c>
      <c r="B1" s="25"/>
      <c r="C1" s="25"/>
      <c r="D1" s="25"/>
      <c r="E1" s="25"/>
      <c r="F1" s="25"/>
      <c r="G1" s="25"/>
    </row>
    <row r="3" spans="1:7" x14ac:dyDescent="0.25">
      <c r="A3" s="26" t="s">
        <v>6</v>
      </c>
      <c r="B3" s="25"/>
      <c r="C3" s="25"/>
      <c r="D3" s="25"/>
    </row>
    <row r="4" spans="1:7" x14ac:dyDescent="0.25">
      <c r="A4" s="1" t="s">
        <v>7</v>
      </c>
      <c r="B4" s="2" t="s">
        <v>95</v>
      </c>
      <c r="D4" s="3" t="s">
        <v>9</v>
      </c>
    </row>
    <row r="5" spans="1:7" x14ac:dyDescent="0.25">
      <c r="A5" s="1" t="s">
        <v>10</v>
      </c>
      <c r="B5" s="2" t="s">
        <v>11</v>
      </c>
    </row>
    <row r="6" spans="1:7" x14ac:dyDescent="0.25">
      <c r="A6" s="1" t="s">
        <v>12</v>
      </c>
      <c r="B6" s="2" t="s">
        <v>117</v>
      </c>
      <c r="D6" s="3" t="s">
        <v>13</v>
      </c>
    </row>
    <row r="7" spans="1:7" x14ac:dyDescent="0.25">
      <c r="A7" s="1" t="s">
        <v>14</v>
      </c>
      <c r="B7" s="4">
        <f>24*365</f>
        <v>8760</v>
      </c>
    </row>
    <row r="9" spans="1:7" x14ac:dyDescent="0.25">
      <c r="A9" s="26" t="s">
        <v>15</v>
      </c>
      <c r="B9" s="25"/>
      <c r="C9" s="25"/>
      <c r="D9" s="25"/>
    </row>
    <row r="10" spans="1:7" x14ac:dyDescent="0.25">
      <c r="A10" s="5" t="s">
        <v>16</v>
      </c>
      <c r="B10" s="5" t="s">
        <v>17</v>
      </c>
      <c r="C10" s="5" t="s">
        <v>18</v>
      </c>
      <c r="D10" s="5" t="s">
        <v>19</v>
      </c>
    </row>
    <row r="11" spans="1:7" x14ac:dyDescent="0.25">
      <c r="A11" s="6" t="s">
        <v>122</v>
      </c>
      <c r="B11" s="4">
        <v>8</v>
      </c>
      <c r="C11" s="7">
        <v>320</v>
      </c>
      <c r="D11" s="8">
        <f t="shared" ref="D11:D20" si="0">B11*C11</f>
        <v>2560</v>
      </c>
    </row>
    <row r="12" spans="1:7" x14ac:dyDescent="0.25">
      <c r="A12" s="6"/>
      <c r="B12" s="4">
        <v>0</v>
      </c>
      <c r="C12" s="7">
        <v>0</v>
      </c>
      <c r="D12" s="8">
        <f t="shared" si="0"/>
        <v>0</v>
      </c>
    </row>
    <row r="13" spans="1:7" x14ac:dyDescent="0.25">
      <c r="A13" s="6"/>
      <c r="B13" s="4">
        <v>0</v>
      </c>
      <c r="C13" s="7">
        <v>0</v>
      </c>
      <c r="D13" s="8">
        <f t="shared" si="0"/>
        <v>0</v>
      </c>
    </row>
    <row r="14" spans="1:7" x14ac:dyDescent="0.25">
      <c r="A14" s="6"/>
      <c r="B14" s="4">
        <v>0</v>
      </c>
      <c r="C14" s="7">
        <v>0</v>
      </c>
      <c r="D14" s="8">
        <f t="shared" si="0"/>
        <v>0</v>
      </c>
    </row>
    <row r="15" spans="1:7" x14ac:dyDescent="0.25">
      <c r="A15" s="6"/>
      <c r="B15" s="4">
        <v>0</v>
      </c>
      <c r="C15" s="7">
        <v>0</v>
      </c>
      <c r="D15" s="8">
        <f t="shared" si="0"/>
        <v>0</v>
      </c>
    </row>
    <row r="16" spans="1:7" x14ac:dyDescent="0.25">
      <c r="A16" s="6"/>
      <c r="B16" s="4">
        <v>0</v>
      </c>
      <c r="C16" s="7">
        <v>0</v>
      </c>
      <c r="D16" s="8">
        <f t="shared" si="0"/>
        <v>0</v>
      </c>
    </row>
    <row r="17" spans="1:10" x14ac:dyDescent="0.25">
      <c r="A17" s="6"/>
      <c r="B17" s="4">
        <v>0</v>
      </c>
      <c r="C17" s="7">
        <v>0</v>
      </c>
      <c r="D17" s="8">
        <f t="shared" si="0"/>
        <v>0</v>
      </c>
    </row>
    <row r="18" spans="1:10" x14ac:dyDescent="0.25">
      <c r="A18" s="6"/>
      <c r="B18" s="4">
        <v>0</v>
      </c>
      <c r="C18" s="7">
        <v>0</v>
      </c>
      <c r="D18" s="8">
        <f t="shared" si="0"/>
        <v>0</v>
      </c>
    </row>
    <row r="19" spans="1:10" x14ac:dyDescent="0.25">
      <c r="A19" s="6"/>
      <c r="B19" s="4">
        <v>0</v>
      </c>
      <c r="C19" s="7">
        <v>0</v>
      </c>
      <c r="D19" s="8">
        <f t="shared" si="0"/>
        <v>0</v>
      </c>
    </row>
    <row r="20" spans="1:10" x14ac:dyDescent="0.25">
      <c r="A20" s="6"/>
      <c r="B20" s="4">
        <v>0</v>
      </c>
      <c r="C20" s="7">
        <v>0</v>
      </c>
      <c r="D20" s="8">
        <f t="shared" si="0"/>
        <v>0</v>
      </c>
    </row>
    <row r="21" spans="1:10" x14ac:dyDescent="0.25">
      <c r="C21" s="9" t="s">
        <v>20</v>
      </c>
      <c r="D21" s="8">
        <f>SUM(D11:D20)</f>
        <v>2560</v>
      </c>
    </row>
    <row r="23" spans="1:10" x14ac:dyDescent="0.25">
      <c r="A23" s="9" t="s">
        <v>21</v>
      </c>
      <c r="B23" s="7">
        <v>0</v>
      </c>
      <c r="C23" s="9" t="s">
        <v>22</v>
      </c>
      <c r="D23" s="8">
        <f>IF(B23&gt;0,MIN(D21,B23),D21)</f>
        <v>2560</v>
      </c>
    </row>
    <row r="25" spans="1:10" x14ac:dyDescent="0.25">
      <c r="A25" s="26" t="s">
        <v>23</v>
      </c>
      <c r="B25" s="25"/>
      <c r="C25" s="25"/>
      <c r="D25" s="25"/>
    </row>
    <row r="26" spans="1:10" x14ac:dyDescent="0.25">
      <c r="A26" s="9" t="s">
        <v>24</v>
      </c>
      <c r="B26" s="4">
        <f>F37*F32*C11*365</f>
        <v>1868800</v>
      </c>
    </row>
    <row r="27" spans="1:10" x14ac:dyDescent="0.25">
      <c r="A27" s="9" t="s">
        <v>25</v>
      </c>
      <c r="B27" s="7">
        <v>0</v>
      </c>
    </row>
    <row r="28" spans="1:10" x14ac:dyDescent="0.25">
      <c r="A28" s="9" t="s">
        <v>26</v>
      </c>
      <c r="D28" s="8">
        <f>IF($B$5="Separately metered (EV only)",$D$23,$B$27)</f>
        <v>2560</v>
      </c>
    </row>
    <row r="29" spans="1:10" x14ac:dyDescent="0.25">
      <c r="A29" s="9" t="s">
        <v>27</v>
      </c>
      <c r="D29" s="10">
        <f>IF(D28&gt;0,$B$26/(D28*$B$7),0)</f>
        <v>8.3333333333333329E-2</v>
      </c>
    </row>
    <row r="30" spans="1:10" x14ac:dyDescent="0.25">
      <c r="A30" s="9" t="s">
        <v>28</v>
      </c>
      <c r="D30" s="6" t="str">
        <f>IF(D29=0,"",IF(D29&lt;=0.1,"Tier 1",IF(D29&lt;=0.15,"Tier 2",IF(D29&lt;=0.2,"Tier 3",IF(D29&lt;=0.25,"Tier 4","Standard (&gt;25% LF)")))))</f>
        <v>Tier 1</v>
      </c>
    </row>
    <row r="31" spans="1:10" x14ac:dyDescent="0.25">
      <c r="F31" s="21">
        <v>31</v>
      </c>
      <c r="G31" s="18" t="s">
        <v>114</v>
      </c>
      <c r="H31" s="17"/>
      <c r="I31" s="17"/>
      <c r="J31" s="17"/>
    </row>
    <row r="32" spans="1:10" x14ac:dyDescent="0.25">
      <c r="A32" s="26" t="s">
        <v>29</v>
      </c>
      <c r="B32" s="25"/>
      <c r="C32" s="25"/>
      <c r="D32" s="25"/>
      <c r="F32" s="19">
        <v>2</v>
      </c>
      <c r="G32" s="18" t="s">
        <v>115</v>
      </c>
      <c r="H32" s="17"/>
      <c r="I32" s="17"/>
      <c r="J32" s="17"/>
    </row>
    <row r="33" spans="1:12" x14ac:dyDescent="0.25">
      <c r="A33" s="1" t="s">
        <v>30</v>
      </c>
      <c r="B33" s="7">
        <f>F33*C11</f>
        <v>2560</v>
      </c>
      <c r="F33" s="19">
        <v>8</v>
      </c>
      <c r="G33" s="18" t="s">
        <v>112</v>
      </c>
    </row>
    <row r="34" spans="1:12" x14ac:dyDescent="0.25">
      <c r="A34" s="1" t="s">
        <v>31</v>
      </c>
      <c r="B34" s="4">
        <f>F34*F32*F31*C11</f>
        <v>119040</v>
      </c>
      <c r="C34" s="16"/>
      <c r="F34" s="19">
        <v>6</v>
      </c>
      <c r="G34" s="18" t="s">
        <v>113</v>
      </c>
    </row>
    <row r="35" spans="1:12" x14ac:dyDescent="0.25">
      <c r="A35" s="1" t="s">
        <v>32</v>
      </c>
      <c r="B35" s="4">
        <f>F35*F32*F31*C11</f>
        <v>39680</v>
      </c>
      <c r="F35" s="19">
        <v>2</v>
      </c>
      <c r="G35" s="18" t="s">
        <v>113</v>
      </c>
    </row>
    <row r="36" spans="1:12" x14ac:dyDescent="0.25">
      <c r="A36" s="1" t="s">
        <v>33</v>
      </c>
      <c r="B36" s="4">
        <f>F36*F32*F31*C11</f>
        <v>0</v>
      </c>
      <c r="F36" s="19">
        <v>0</v>
      </c>
      <c r="G36" s="18" t="s">
        <v>113</v>
      </c>
      <c r="K36">
        <v>30</v>
      </c>
      <c r="L36" t="s">
        <v>123</v>
      </c>
    </row>
    <row r="37" spans="1:12" x14ac:dyDescent="0.25">
      <c r="A37" s="1" t="s">
        <v>34</v>
      </c>
      <c r="B37" s="11">
        <v>0.12</v>
      </c>
      <c r="F37" s="21">
        <f>F34+F35+F36</f>
        <v>8</v>
      </c>
      <c r="G37" t="s">
        <v>116</v>
      </c>
      <c r="H37">
        <f>F37*F32</f>
        <v>16</v>
      </c>
      <c r="I37">
        <f>B11*24</f>
        <v>192</v>
      </c>
      <c r="J37">
        <f>H37/I37</f>
        <v>8.3333333333333329E-2</v>
      </c>
      <c r="K37">
        <f>H37/(K36/60)</f>
        <v>32</v>
      </c>
      <c r="L37" t="s">
        <v>124</v>
      </c>
    </row>
    <row r="38" spans="1:12" x14ac:dyDescent="0.25">
      <c r="A38" s="9" t="s">
        <v>35</v>
      </c>
      <c r="D38" s="12">
        <f>SUM($B$34:$B$36)</f>
        <v>158720</v>
      </c>
    </row>
  </sheetData>
  <mergeCells count="5">
    <mergeCell ref="A9:D9"/>
    <mergeCell ref="A1:G1"/>
    <mergeCell ref="A3:D3"/>
    <mergeCell ref="A25:D25"/>
    <mergeCell ref="A32:D32"/>
  </mergeCells>
  <dataValidations count="3">
    <dataValidation type="list" sqref="B4" xr:uid="{00000000-0002-0000-0100-000000000000}">
      <formula1>"SC-2D,SC-3 Secondary,SC-3 Primary,SC-3 SubT/Trans,SC-3A Sec/Pri,SC-3A SubT,SC-3A Trans"</formula1>
    </dataValidation>
    <dataValidation type="list" sqref="B5" xr:uid="{00000000-0002-0000-0100-000001000000}">
      <formula1>"Separately metered (EV only),Not separately metered (mixed load)"</formula1>
    </dataValidation>
    <dataValidation type="list" sqref="B6" xr:uid="{00000000-0002-0000-0100-000002000000}">
      <formula1>"Summer,Winter"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>
      <pane ySplit="3" topLeftCell="A10" activePane="bottomLeft" state="frozen"/>
      <selection pane="bottomLeft" activeCell="H24" sqref="H24"/>
    </sheetView>
  </sheetViews>
  <sheetFormatPr defaultRowHeight="15" x14ac:dyDescent="0.25"/>
  <cols>
    <col min="1" max="1" width="38" customWidth="1"/>
    <col min="2" max="2" width="22" customWidth="1"/>
    <col min="3" max="5" width="18" customWidth="1"/>
  </cols>
  <sheetData>
    <row r="1" spans="1:5" ht="27.95" customHeight="1" x14ac:dyDescent="0.25">
      <c r="A1" s="27" t="s">
        <v>36</v>
      </c>
      <c r="B1" s="25"/>
      <c r="C1" s="25"/>
      <c r="D1" s="25"/>
      <c r="E1" s="25"/>
    </row>
    <row r="3" spans="1:5" x14ac:dyDescent="0.25">
      <c r="A3" s="26" t="s">
        <v>37</v>
      </c>
      <c r="B3" s="25"/>
      <c r="C3" s="25"/>
      <c r="D3" s="25"/>
      <c r="E3" s="25"/>
    </row>
    <row r="4" spans="1:5" x14ac:dyDescent="0.25">
      <c r="A4" s="1" t="s">
        <v>38</v>
      </c>
      <c r="B4" s="6" t="str">
        <f>Inputs!B4</f>
        <v>SC-3A Sec/Pri</v>
      </c>
    </row>
    <row r="5" spans="1:5" x14ac:dyDescent="0.25">
      <c r="A5" s="1" t="s">
        <v>10</v>
      </c>
      <c r="B5" s="6" t="str">
        <f>Inputs!B5</f>
        <v>Separately metered (EV only)</v>
      </c>
    </row>
    <row r="6" spans="1:5" x14ac:dyDescent="0.25">
      <c r="A6" s="1" t="s">
        <v>39</v>
      </c>
      <c r="B6" s="10">
        <f>Inputs!D29</f>
        <v>8.3333333333333329E-2</v>
      </c>
    </row>
    <row r="7" spans="1:5" x14ac:dyDescent="0.25">
      <c r="A7" s="1" t="s">
        <v>40</v>
      </c>
      <c r="B7" s="6" t="str">
        <f>Inputs!D30</f>
        <v>Tier 1</v>
      </c>
    </row>
    <row r="8" spans="1:5" x14ac:dyDescent="0.25">
      <c r="A8" s="1" t="s">
        <v>41</v>
      </c>
      <c r="B8" s="12">
        <f>IF(Inputs!D29&lt;=0.1,1,IF(Inputs!D29&lt;=0.15,2,IF(Inputs!D29&lt;=0.2,3,IF(Inputs!D29&lt;=0.25,4,0))))</f>
        <v>1</v>
      </c>
    </row>
    <row r="10" spans="1:5" x14ac:dyDescent="0.25">
      <c r="A10" s="26" t="s">
        <v>42</v>
      </c>
      <c r="B10" s="25"/>
      <c r="C10" s="25"/>
      <c r="D10" s="25"/>
      <c r="E10" s="25"/>
    </row>
    <row r="11" spans="1:5" x14ac:dyDescent="0.25">
      <c r="A11" s="1" t="s">
        <v>43</v>
      </c>
      <c r="B11" s="6" t="str">
        <f>B4&amp;"|"&amp;B8</f>
        <v>SC-3A Sec/Pri|1</v>
      </c>
    </row>
    <row r="12" spans="1:5" x14ac:dyDescent="0.25">
      <c r="A12" s="1" t="s">
        <v>44</v>
      </c>
      <c r="B12" s="13">
        <f>VLOOKUP(B11,Rates!$A$3:$G$100,4,FALSE)</f>
        <v>0</v>
      </c>
    </row>
    <row r="13" spans="1:5" x14ac:dyDescent="0.25">
      <c r="A13" s="1" t="s">
        <v>45</v>
      </c>
      <c r="B13" s="13">
        <f>VLOOKUP(B11,Rates!$A$3:$G$100,5,FALSE)</f>
        <v>4.0329999999999998E-2</v>
      </c>
    </row>
    <row r="14" spans="1:5" x14ac:dyDescent="0.25">
      <c r="A14" s="1" t="s">
        <v>46</v>
      </c>
      <c r="B14" s="13">
        <f>VLOOKUP(B11,Rates!$A$3:$G$100,6,FALSE)</f>
        <v>2.017E-2</v>
      </c>
    </row>
    <row r="15" spans="1:5" x14ac:dyDescent="0.25">
      <c r="A15" s="1" t="s">
        <v>47</v>
      </c>
      <c r="B15" s="13">
        <f>VLOOKUP(B11,Rates!$A$3:$G$100,7,FALSE)</f>
        <v>6.0499999999999998E-2</v>
      </c>
    </row>
    <row r="16" spans="1:5" x14ac:dyDescent="0.25">
      <c r="A16" s="1" t="s">
        <v>48</v>
      </c>
      <c r="B16" s="13">
        <f>VLOOKUP(B4&amp;"|0",Rates!$A$3:$G$100,4,FALSE)</f>
        <v>14.07</v>
      </c>
    </row>
    <row r="18" spans="1:6" x14ac:dyDescent="0.25">
      <c r="A18" s="26" t="s">
        <v>49</v>
      </c>
      <c r="B18" s="25"/>
      <c r="C18" s="25"/>
      <c r="D18" s="25"/>
      <c r="E18" s="25"/>
    </row>
    <row r="19" spans="1:6" x14ac:dyDescent="0.25">
      <c r="A19" s="1" t="s">
        <v>50</v>
      </c>
      <c r="B19" s="6" t="str">
        <f>Inputs!B6</f>
        <v>Winter</v>
      </c>
    </row>
    <row r="20" spans="1:6" x14ac:dyDescent="0.25">
      <c r="A20" s="1" t="s">
        <v>51</v>
      </c>
      <c r="B20" s="8">
        <f>Inputs!B33</f>
        <v>2560</v>
      </c>
    </row>
    <row r="21" spans="1:6" x14ac:dyDescent="0.25">
      <c r="A21" s="1" t="s">
        <v>52</v>
      </c>
      <c r="B21" s="12">
        <f>Inputs!B34</f>
        <v>119040</v>
      </c>
    </row>
    <row r="22" spans="1:6" x14ac:dyDescent="0.25">
      <c r="A22" s="1" t="s">
        <v>53</v>
      </c>
      <c r="B22" s="12">
        <f>Inputs!B35</f>
        <v>39680</v>
      </c>
    </row>
    <row r="23" spans="1:6" x14ac:dyDescent="0.25">
      <c r="A23" s="1" t="s">
        <v>54</v>
      </c>
      <c r="B23" s="12">
        <f>IF(B19="Winter",0,Inputs!B36)</f>
        <v>0</v>
      </c>
    </row>
    <row r="24" spans="1:6" x14ac:dyDescent="0.25">
      <c r="A24" s="1" t="s">
        <v>55</v>
      </c>
      <c r="B24" s="12">
        <f>B21+B22+B23</f>
        <v>158720</v>
      </c>
      <c r="E24" t="s">
        <v>121</v>
      </c>
    </row>
    <row r="25" spans="1:6" x14ac:dyDescent="0.25">
      <c r="E25" s="22">
        <v>0.5</v>
      </c>
      <c r="F25" t="s">
        <v>118</v>
      </c>
    </row>
    <row r="26" spans="1:6" x14ac:dyDescent="0.25">
      <c r="A26" s="1" t="s">
        <v>56</v>
      </c>
      <c r="B26" s="14">
        <f>IF(B8=0,"",B20*B12)</f>
        <v>0</v>
      </c>
      <c r="E26" s="22">
        <f>E25*Inputs!D38</f>
        <v>79360</v>
      </c>
      <c r="F26" t="s">
        <v>119</v>
      </c>
    </row>
    <row r="27" spans="1:6" x14ac:dyDescent="0.25">
      <c r="A27" s="1" t="s">
        <v>57</v>
      </c>
      <c r="B27" s="14">
        <f>IF(B8=0,"",B21*B13 + B22*B14 + B23*B15)</f>
        <v>5601.228799999999</v>
      </c>
      <c r="E27" s="22">
        <f>E26-B27-B36</f>
        <v>54712.371200000009</v>
      </c>
      <c r="F27" t="s">
        <v>120</v>
      </c>
    </row>
    <row r="28" spans="1:6" x14ac:dyDescent="0.25">
      <c r="A28" s="1" t="s">
        <v>58</v>
      </c>
      <c r="B28" s="14">
        <f>IF(B8=0,"",B26+B27)</f>
        <v>5601.228799999999</v>
      </c>
    </row>
    <row r="30" spans="1:6" x14ac:dyDescent="0.25">
      <c r="A30" s="1" t="s">
        <v>59</v>
      </c>
      <c r="B30" s="14">
        <f>IF(B8=0,"",16.99*B20)</f>
        <v>43494.399999999994</v>
      </c>
    </row>
    <row r="31" spans="1:6" x14ac:dyDescent="0.25">
      <c r="A31" s="1" t="s">
        <v>60</v>
      </c>
      <c r="B31" s="14">
        <f>IF(B8=0,"",B28-B30)</f>
        <v>-37893.171199999997</v>
      </c>
    </row>
    <row r="32" spans="1:6" x14ac:dyDescent="0.25">
      <c r="B32" s="10">
        <f>IF(B8=0,"",B31/B30)</f>
        <v>-0.87121954090641562</v>
      </c>
    </row>
    <row r="34" spans="1:5" x14ac:dyDescent="0.25">
      <c r="A34" s="26" t="s">
        <v>61</v>
      </c>
      <c r="B34" s="25"/>
      <c r="C34" s="25"/>
      <c r="D34" s="25"/>
      <c r="E34" s="25"/>
    </row>
    <row r="35" spans="1:5" x14ac:dyDescent="0.25">
      <c r="A35" s="9" t="s">
        <v>62</v>
      </c>
      <c r="B35" s="23">
        <f>Inputs!B37</f>
        <v>0.12</v>
      </c>
    </row>
    <row r="36" spans="1:5" x14ac:dyDescent="0.25">
      <c r="A36" s="9" t="s">
        <v>63</v>
      </c>
      <c r="B36" s="14">
        <f>B24*B35</f>
        <v>19046.399999999998</v>
      </c>
    </row>
  </sheetData>
  <mergeCells count="5">
    <mergeCell ref="A34:E34"/>
    <mergeCell ref="A10:E10"/>
    <mergeCell ref="A1:E1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showGridLines="0" workbookViewId="0">
      <pane ySplit="2" topLeftCell="A12" activePane="bottomLeft" state="frozen"/>
      <selection pane="bottomLeft" activeCell="L37" sqref="L37"/>
    </sheetView>
  </sheetViews>
  <sheetFormatPr defaultRowHeight="15" x14ac:dyDescent="0.25"/>
  <cols>
    <col min="1" max="1" width="22" customWidth="1"/>
    <col min="2" max="2" width="20" customWidth="1"/>
    <col min="3" max="3" width="8" customWidth="1"/>
    <col min="4" max="7" width="14" customWidth="1"/>
  </cols>
  <sheetData>
    <row r="1" spans="1:8" ht="27.95" customHeight="1" x14ac:dyDescent="0.25">
      <c r="A1" s="27" t="s">
        <v>64</v>
      </c>
      <c r="B1" s="25"/>
      <c r="C1" s="25"/>
      <c r="D1" s="25"/>
      <c r="E1" s="25"/>
      <c r="F1" s="25"/>
      <c r="G1" s="25"/>
    </row>
    <row r="2" spans="1:8" x14ac:dyDescent="0.25">
      <c r="A2" s="5" t="s">
        <v>65</v>
      </c>
      <c r="B2" s="5" t="s">
        <v>38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</row>
    <row r="3" spans="1:8" x14ac:dyDescent="0.25">
      <c r="A3" s="15" t="s">
        <v>71</v>
      </c>
      <c r="B3" s="15" t="s">
        <v>8</v>
      </c>
      <c r="C3" s="12">
        <v>0</v>
      </c>
      <c r="D3" s="13">
        <v>16.989999999999998</v>
      </c>
      <c r="E3" s="13">
        <v>0</v>
      </c>
      <c r="F3" s="13">
        <v>0</v>
      </c>
      <c r="G3" s="13">
        <v>0</v>
      </c>
    </row>
    <row r="4" spans="1:8" x14ac:dyDescent="0.25">
      <c r="A4" s="15" t="s">
        <v>72</v>
      </c>
      <c r="B4" s="15" t="s">
        <v>8</v>
      </c>
      <c r="C4" s="12">
        <v>1</v>
      </c>
      <c r="D4" s="13">
        <v>0</v>
      </c>
      <c r="E4" s="13">
        <v>7.4200000000000002E-2</v>
      </c>
      <c r="F4" s="13">
        <v>3.7100000000000001E-2</v>
      </c>
      <c r="G4" s="13">
        <v>0.11131000000000001</v>
      </c>
    </row>
    <row r="5" spans="1:8" x14ac:dyDescent="0.25">
      <c r="A5" s="15" t="s">
        <v>73</v>
      </c>
      <c r="B5" s="15" t="s">
        <v>8</v>
      </c>
      <c r="C5" s="12">
        <v>2</v>
      </c>
      <c r="D5" s="13">
        <v>4.25</v>
      </c>
      <c r="E5" s="13">
        <v>5.5649999999999998E-2</v>
      </c>
      <c r="F5" s="13">
        <v>2.7830000000000001E-2</v>
      </c>
      <c r="G5" s="13">
        <v>8.3479999999999999E-2</v>
      </c>
    </row>
    <row r="6" spans="1:8" x14ac:dyDescent="0.25">
      <c r="A6" s="15" t="s">
        <v>74</v>
      </c>
      <c r="B6" s="15" t="s">
        <v>8</v>
      </c>
      <c r="C6" s="12">
        <v>3</v>
      </c>
      <c r="D6" s="13">
        <v>8.5</v>
      </c>
      <c r="E6" s="13">
        <v>3.7100000000000001E-2</v>
      </c>
      <c r="F6" s="13">
        <v>1.8550000000000001E-2</v>
      </c>
      <c r="G6" s="13">
        <v>5.5649999999999998E-2</v>
      </c>
    </row>
    <row r="7" spans="1:8" x14ac:dyDescent="0.25">
      <c r="A7" s="15" t="s">
        <v>75</v>
      </c>
      <c r="B7" s="15" t="s">
        <v>8</v>
      </c>
      <c r="C7" s="12">
        <v>4</v>
      </c>
      <c r="D7" s="13">
        <v>12.74</v>
      </c>
      <c r="E7" s="13">
        <v>1.8550000000000001E-2</v>
      </c>
      <c r="F7" s="13">
        <v>9.2800000000000001E-3</v>
      </c>
      <c r="G7" s="13">
        <v>2.7830000000000001E-2</v>
      </c>
    </row>
    <row r="8" spans="1:8" x14ac:dyDescent="0.25">
      <c r="A8" s="15" t="s">
        <v>76</v>
      </c>
      <c r="B8" s="15" t="s">
        <v>77</v>
      </c>
      <c r="C8" s="12">
        <v>0</v>
      </c>
      <c r="D8" s="13">
        <v>14.28</v>
      </c>
      <c r="E8" s="13">
        <v>0</v>
      </c>
      <c r="F8" s="13">
        <v>0</v>
      </c>
      <c r="G8" s="13">
        <v>0</v>
      </c>
    </row>
    <row r="9" spans="1:8" x14ac:dyDescent="0.25">
      <c r="A9" s="15" t="s">
        <v>78</v>
      </c>
      <c r="B9" s="15" t="s">
        <v>77</v>
      </c>
      <c r="C9" s="12">
        <v>1</v>
      </c>
      <c r="D9" s="13">
        <v>0</v>
      </c>
      <c r="E9" s="13">
        <v>4.8050000000000002E-2</v>
      </c>
      <c r="F9" s="13">
        <v>2.4029999999999999E-2</v>
      </c>
      <c r="G9" s="13">
        <v>7.2080000000000005E-2</v>
      </c>
    </row>
    <row r="10" spans="1:8" x14ac:dyDescent="0.25">
      <c r="A10" s="15" t="s">
        <v>79</v>
      </c>
      <c r="B10" s="15" t="s">
        <v>77</v>
      </c>
      <c r="C10" s="12">
        <v>2</v>
      </c>
      <c r="D10" s="13">
        <v>3.57</v>
      </c>
      <c r="E10" s="13">
        <v>3.6040000000000003E-2</v>
      </c>
      <c r="F10" s="13">
        <v>1.8020000000000001E-2</v>
      </c>
      <c r="G10" s="13">
        <v>5.4059999999999997E-2</v>
      </c>
    </row>
    <row r="11" spans="1:8" x14ac:dyDescent="0.25">
      <c r="A11" s="15" t="s">
        <v>80</v>
      </c>
      <c r="B11" s="15" t="s">
        <v>77</v>
      </c>
      <c r="C11" s="12">
        <v>3</v>
      </c>
      <c r="D11" s="13">
        <v>7.14</v>
      </c>
      <c r="E11" s="13">
        <v>2.4029999999999999E-2</v>
      </c>
      <c r="F11" s="13">
        <v>1.201E-2</v>
      </c>
      <c r="G11" s="13">
        <v>3.6040000000000003E-2</v>
      </c>
    </row>
    <row r="12" spans="1:8" x14ac:dyDescent="0.25">
      <c r="A12" s="15" t="s">
        <v>81</v>
      </c>
      <c r="B12" s="15" t="s">
        <v>77</v>
      </c>
      <c r="C12" s="12">
        <v>4</v>
      </c>
      <c r="D12" s="13">
        <v>10.71</v>
      </c>
      <c r="E12" s="13">
        <v>1.201E-2</v>
      </c>
      <c r="F12" s="13">
        <v>6.0099999999999997E-3</v>
      </c>
      <c r="G12" s="13">
        <v>1.8020000000000001E-2</v>
      </c>
      <c r="H12" s="20">
        <f>SUM(D12:G12)</f>
        <v>10.746040000000001</v>
      </c>
    </row>
    <row r="13" spans="1:8" x14ac:dyDescent="0.25">
      <c r="A13" s="15" t="s">
        <v>82</v>
      </c>
      <c r="B13" s="15" t="s">
        <v>83</v>
      </c>
      <c r="C13" s="12">
        <v>0</v>
      </c>
      <c r="D13" s="13">
        <v>12.88</v>
      </c>
      <c r="E13" s="13">
        <v>0</v>
      </c>
      <c r="F13" s="13">
        <v>0</v>
      </c>
      <c r="G13" s="13">
        <v>0</v>
      </c>
      <c r="H13" s="20">
        <f t="shared" ref="H13:H37" si="0">SUM(D13:G13)</f>
        <v>12.88</v>
      </c>
    </row>
    <row r="14" spans="1:8" x14ac:dyDescent="0.25">
      <c r="A14" s="15" t="s">
        <v>84</v>
      </c>
      <c r="B14" s="15" t="s">
        <v>83</v>
      </c>
      <c r="C14" s="12">
        <v>1</v>
      </c>
      <c r="D14" s="13">
        <v>0</v>
      </c>
      <c r="E14" s="13">
        <v>3.984E-2</v>
      </c>
      <c r="F14" s="13">
        <v>1.992E-2</v>
      </c>
      <c r="G14" s="13">
        <v>5.9760000000000001E-2</v>
      </c>
      <c r="H14" s="20">
        <f t="shared" si="0"/>
        <v>0.11952</v>
      </c>
    </row>
    <row r="15" spans="1:8" x14ac:dyDescent="0.25">
      <c r="A15" s="15" t="s">
        <v>85</v>
      </c>
      <c r="B15" s="15" t="s">
        <v>83</v>
      </c>
      <c r="C15" s="12">
        <v>2</v>
      </c>
      <c r="D15" s="13">
        <v>3.22</v>
      </c>
      <c r="E15" s="13">
        <v>2.988E-2</v>
      </c>
      <c r="F15" s="13">
        <v>1.494E-2</v>
      </c>
      <c r="G15" s="13">
        <v>4.4819999999999999E-2</v>
      </c>
      <c r="H15" s="20">
        <f t="shared" si="0"/>
        <v>3.3096400000000004</v>
      </c>
    </row>
    <row r="16" spans="1:8" x14ac:dyDescent="0.25">
      <c r="A16" s="15" t="s">
        <v>86</v>
      </c>
      <c r="B16" s="15" t="s">
        <v>83</v>
      </c>
      <c r="C16" s="12">
        <v>3</v>
      </c>
      <c r="D16" s="13">
        <v>6.44</v>
      </c>
      <c r="E16" s="13">
        <v>1.992E-2</v>
      </c>
      <c r="F16" s="13">
        <v>9.9600000000000001E-3</v>
      </c>
      <c r="G16" s="13">
        <v>2.988E-2</v>
      </c>
      <c r="H16" s="20">
        <f t="shared" si="0"/>
        <v>6.4997600000000011</v>
      </c>
    </row>
    <row r="17" spans="1:8" x14ac:dyDescent="0.25">
      <c r="A17" s="15" t="s">
        <v>87</v>
      </c>
      <c r="B17" s="15" t="s">
        <v>83</v>
      </c>
      <c r="C17" s="12">
        <v>4</v>
      </c>
      <c r="D17" s="13">
        <v>9.66</v>
      </c>
      <c r="E17" s="13">
        <v>9.9600000000000001E-3</v>
      </c>
      <c r="F17" s="13">
        <v>4.9800000000000001E-3</v>
      </c>
      <c r="G17" s="13">
        <v>1.494E-2</v>
      </c>
      <c r="H17" s="20">
        <f t="shared" si="0"/>
        <v>9.6898799999999987</v>
      </c>
    </row>
    <row r="18" spans="1:8" x14ac:dyDescent="0.25">
      <c r="A18" s="15" t="s">
        <v>88</v>
      </c>
      <c r="B18" s="15" t="s">
        <v>89</v>
      </c>
      <c r="C18" s="12">
        <v>0</v>
      </c>
      <c r="D18" s="13">
        <v>4.07</v>
      </c>
      <c r="E18" s="13">
        <v>0</v>
      </c>
      <c r="F18" s="13">
        <v>0</v>
      </c>
      <c r="G18" s="13">
        <v>0</v>
      </c>
      <c r="H18" s="20">
        <f t="shared" si="0"/>
        <v>4.07</v>
      </c>
    </row>
    <row r="19" spans="1:8" x14ac:dyDescent="0.25">
      <c r="A19" s="15" t="s">
        <v>90</v>
      </c>
      <c r="B19" s="15" t="s">
        <v>89</v>
      </c>
      <c r="C19" s="12">
        <v>1</v>
      </c>
      <c r="D19" s="13">
        <v>0</v>
      </c>
      <c r="E19" s="13">
        <v>1.257E-2</v>
      </c>
      <c r="F19" s="13">
        <v>6.2899999999999996E-3</v>
      </c>
      <c r="G19" s="13">
        <v>1.8859999999999998E-2</v>
      </c>
      <c r="H19" s="20">
        <f t="shared" si="0"/>
        <v>3.7719999999999997E-2</v>
      </c>
    </row>
    <row r="20" spans="1:8" x14ac:dyDescent="0.25">
      <c r="A20" s="15" t="s">
        <v>91</v>
      </c>
      <c r="B20" s="15" t="s">
        <v>89</v>
      </c>
      <c r="C20" s="12">
        <v>2</v>
      </c>
      <c r="D20" s="13">
        <v>1.02</v>
      </c>
      <c r="E20" s="13">
        <v>9.4299999999999991E-3</v>
      </c>
      <c r="F20" s="13">
        <v>4.7200000000000002E-3</v>
      </c>
      <c r="G20" s="13">
        <v>1.4149999999999999E-2</v>
      </c>
      <c r="H20" s="20">
        <f t="shared" si="0"/>
        <v>1.0483000000000002</v>
      </c>
    </row>
    <row r="21" spans="1:8" x14ac:dyDescent="0.25">
      <c r="A21" s="15" t="s">
        <v>92</v>
      </c>
      <c r="B21" s="15" t="s">
        <v>89</v>
      </c>
      <c r="C21" s="12">
        <v>3</v>
      </c>
      <c r="D21" s="13">
        <v>2.04</v>
      </c>
      <c r="E21" s="13">
        <v>6.2899999999999996E-3</v>
      </c>
      <c r="F21" s="13">
        <v>3.14E-3</v>
      </c>
      <c r="G21" s="13">
        <v>9.4299999999999991E-3</v>
      </c>
      <c r="H21" s="20">
        <f t="shared" si="0"/>
        <v>2.0588600000000001</v>
      </c>
    </row>
    <row r="22" spans="1:8" x14ac:dyDescent="0.25">
      <c r="A22" s="15" t="s">
        <v>93</v>
      </c>
      <c r="B22" s="15" t="s">
        <v>89</v>
      </c>
      <c r="C22" s="12">
        <v>4</v>
      </c>
      <c r="D22" s="13">
        <v>3.05</v>
      </c>
      <c r="E22" s="13">
        <v>3.14E-3</v>
      </c>
      <c r="F22" s="13">
        <v>1.57E-3</v>
      </c>
      <c r="G22" s="13">
        <v>4.7200000000000002E-3</v>
      </c>
      <c r="H22" s="20">
        <f t="shared" si="0"/>
        <v>3.0594299999999999</v>
      </c>
    </row>
    <row r="23" spans="1:8" x14ac:dyDescent="0.25">
      <c r="A23" s="15" t="s">
        <v>94</v>
      </c>
      <c r="B23" s="15" t="s">
        <v>95</v>
      </c>
      <c r="C23" s="12">
        <v>0</v>
      </c>
      <c r="D23" s="13">
        <v>14.07</v>
      </c>
      <c r="E23" s="13">
        <v>0</v>
      </c>
      <c r="F23" s="13">
        <v>0</v>
      </c>
      <c r="G23" s="13">
        <v>0</v>
      </c>
      <c r="H23" s="20">
        <f t="shared" si="0"/>
        <v>14.07</v>
      </c>
    </row>
    <row r="24" spans="1:8" x14ac:dyDescent="0.25">
      <c r="A24" s="15" t="s">
        <v>96</v>
      </c>
      <c r="B24" s="15" t="s">
        <v>95</v>
      </c>
      <c r="C24" s="12">
        <v>1</v>
      </c>
      <c r="D24" s="13">
        <v>0</v>
      </c>
      <c r="E24" s="13">
        <v>4.0329999999999998E-2</v>
      </c>
      <c r="F24" s="13">
        <v>2.017E-2</v>
      </c>
      <c r="G24" s="13">
        <v>6.0499999999999998E-2</v>
      </c>
      <c r="H24" s="20">
        <f t="shared" si="0"/>
        <v>0.121</v>
      </c>
    </row>
    <row r="25" spans="1:8" x14ac:dyDescent="0.25">
      <c r="A25" s="15" t="s">
        <v>97</v>
      </c>
      <c r="B25" s="15" t="s">
        <v>95</v>
      </c>
      <c r="C25" s="12">
        <v>2</v>
      </c>
      <c r="D25" s="13">
        <v>3.52</v>
      </c>
      <c r="E25" s="13">
        <v>3.0249999999999999E-2</v>
      </c>
      <c r="F25" s="13">
        <v>1.512E-2</v>
      </c>
      <c r="G25" s="13">
        <v>4.5370000000000001E-2</v>
      </c>
      <c r="H25" s="20">
        <f t="shared" si="0"/>
        <v>3.6107400000000003</v>
      </c>
    </row>
    <row r="26" spans="1:8" x14ac:dyDescent="0.25">
      <c r="A26" s="15" t="s">
        <v>98</v>
      </c>
      <c r="B26" s="15" t="s">
        <v>95</v>
      </c>
      <c r="C26" s="12">
        <v>3</v>
      </c>
      <c r="D26" s="13">
        <v>7.04</v>
      </c>
      <c r="E26" s="13">
        <v>2.017E-2</v>
      </c>
      <c r="F26" s="13">
        <v>1.008E-2</v>
      </c>
      <c r="G26" s="13">
        <v>3.0249999999999999E-2</v>
      </c>
      <c r="H26" s="20">
        <f t="shared" si="0"/>
        <v>7.1005000000000003</v>
      </c>
    </row>
    <row r="27" spans="1:8" x14ac:dyDescent="0.25">
      <c r="A27" s="15" t="s">
        <v>99</v>
      </c>
      <c r="B27" s="15" t="s">
        <v>95</v>
      </c>
      <c r="C27" s="12">
        <v>4</v>
      </c>
      <c r="D27" s="13">
        <v>10.55</v>
      </c>
      <c r="E27" s="13">
        <v>1.008E-2</v>
      </c>
      <c r="F27" s="13">
        <v>5.0400000000000002E-3</v>
      </c>
      <c r="G27" s="13">
        <v>1.512E-2</v>
      </c>
      <c r="H27" s="20">
        <f t="shared" si="0"/>
        <v>10.58024</v>
      </c>
    </row>
    <row r="28" spans="1:8" x14ac:dyDescent="0.25">
      <c r="A28" s="15" t="s">
        <v>100</v>
      </c>
      <c r="B28" s="15" t="s">
        <v>101</v>
      </c>
      <c r="C28" s="12">
        <v>0</v>
      </c>
      <c r="D28" s="13">
        <v>4.97</v>
      </c>
      <c r="E28" s="13">
        <v>0</v>
      </c>
      <c r="F28" s="13">
        <v>0</v>
      </c>
      <c r="G28" s="13">
        <v>0</v>
      </c>
      <c r="H28" s="20">
        <f t="shared" si="0"/>
        <v>4.97</v>
      </c>
    </row>
    <row r="29" spans="1:8" x14ac:dyDescent="0.25">
      <c r="A29" s="15" t="s">
        <v>102</v>
      </c>
      <c r="B29" s="15" t="s">
        <v>101</v>
      </c>
      <c r="C29" s="12">
        <v>1</v>
      </c>
      <c r="D29" s="13">
        <v>0</v>
      </c>
      <c r="E29" s="13">
        <v>1.329E-2</v>
      </c>
      <c r="F29" s="13">
        <v>6.6400000000000001E-3</v>
      </c>
      <c r="G29" s="13">
        <v>1.993E-2</v>
      </c>
      <c r="H29" s="20">
        <f t="shared" si="0"/>
        <v>3.986E-2</v>
      </c>
    </row>
    <row r="30" spans="1:8" x14ac:dyDescent="0.25">
      <c r="A30" s="15" t="s">
        <v>103</v>
      </c>
      <c r="B30" s="15" t="s">
        <v>101</v>
      </c>
      <c r="C30" s="12">
        <v>2</v>
      </c>
      <c r="D30" s="13">
        <v>1.24</v>
      </c>
      <c r="E30" s="13">
        <v>9.9699999999999997E-3</v>
      </c>
      <c r="F30" s="13">
        <v>4.9800000000000001E-3</v>
      </c>
      <c r="G30" s="13">
        <v>1.495E-2</v>
      </c>
      <c r="H30" s="20">
        <f t="shared" si="0"/>
        <v>1.2699</v>
      </c>
    </row>
    <row r="31" spans="1:8" x14ac:dyDescent="0.25">
      <c r="A31" s="15" t="s">
        <v>104</v>
      </c>
      <c r="B31" s="15" t="s">
        <v>101</v>
      </c>
      <c r="C31" s="12">
        <v>3</v>
      </c>
      <c r="D31" s="13">
        <v>2.4900000000000002</v>
      </c>
      <c r="E31" s="13">
        <v>6.6400000000000001E-3</v>
      </c>
      <c r="F31" s="13">
        <v>3.32E-3</v>
      </c>
      <c r="G31" s="13">
        <v>9.9699999999999997E-3</v>
      </c>
      <c r="H31" s="20">
        <f t="shared" si="0"/>
        <v>2.5099300000000002</v>
      </c>
    </row>
    <row r="32" spans="1:8" x14ac:dyDescent="0.25">
      <c r="A32" s="15" t="s">
        <v>105</v>
      </c>
      <c r="B32" s="15" t="s">
        <v>101</v>
      </c>
      <c r="C32" s="12">
        <v>4</v>
      </c>
      <c r="D32" s="13">
        <v>3.73</v>
      </c>
      <c r="E32" s="13">
        <v>3.32E-3</v>
      </c>
      <c r="F32" s="13">
        <v>1.66E-3</v>
      </c>
      <c r="G32" s="13">
        <v>4.9800000000000001E-3</v>
      </c>
      <c r="H32" s="20">
        <f t="shared" si="0"/>
        <v>3.7399600000000004</v>
      </c>
    </row>
    <row r="33" spans="1:8" x14ac:dyDescent="0.25">
      <c r="A33" s="15" t="s">
        <v>106</v>
      </c>
      <c r="B33" s="15" t="s">
        <v>107</v>
      </c>
      <c r="C33" s="12">
        <v>0</v>
      </c>
      <c r="D33" s="13">
        <v>4.3600000000000003</v>
      </c>
      <c r="E33" s="13">
        <v>0</v>
      </c>
      <c r="F33" s="13">
        <v>0</v>
      </c>
      <c r="G33" s="13">
        <v>0</v>
      </c>
      <c r="H33" s="20">
        <f t="shared" si="0"/>
        <v>4.3600000000000003</v>
      </c>
    </row>
    <row r="34" spans="1:8" x14ac:dyDescent="0.25">
      <c r="A34" s="15" t="s">
        <v>108</v>
      </c>
      <c r="B34" s="15" t="s">
        <v>107</v>
      </c>
      <c r="C34" s="12">
        <v>1</v>
      </c>
      <c r="D34" s="13">
        <v>0</v>
      </c>
      <c r="E34" s="13">
        <v>1.1939999999999999E-2</v>
      </c>
      <c r="F34" s="13">
        <v>5.9699999999999996E-3</v>
      </c>
      <c r="G34" s="13">
        <v>1.7899999999999999E-2</v>
      </c>
      <c r="H34" s="20">
        <f t="shared" si="0"/>
        <v>3.5809999999999995E-2</v>
      </c>
    </row>
    <row r="35" spans="1:8" x14ac:dyDescent="0.25">
      <c r="A35" s="15" t="s">
        <v>109</v>
      </c>
      <c r="B35" s="15" t="s">
        <v>107</v>
      </c>
      <c r="C35" s="12">
        <v>2</v>
      </c>
      <c r="D35" s="13">
        <v>1.0900000000000001</v>
      </c>
      <c r="E35" s="13">
        <v>8.9499999999999996E-3</v>
      </c>
      <c r="F35" s="13">
        <v>4.4799999999999996E-3</v>
      </c>
      <c r="G35" s="13">
        <v>1.3429999999999999E-2</v>
      </c>
      <c r="H35" s="20">
        <f t="shared" si="0"/>
        <v>1.1168600000000002</v>
      </c>
    </row>
    <row r="36" spans="1:8" x14ac:dyDescent="0.25">
      <c r="A36" s="15" t="s">
        <v>110</v>
      </c>
      <c r="B36" s="15" t="s">
        <v>107</v>
      </c>
      <c r="C36" s="12">
        <v>3</v>
      </c>
      <c r="D36" s="13">
        <v>2.1800000000000002</v>
      </c>
      <c r="E36" s="13">
        <v>5.9699999999999996E-3</v>
      </c>
      <c r="F36" s="13">
        <v>2.98E-3</v>
      </c>
      <c r="G36" s="13">
        <v>8.9499999999999996E-3</v>
      </c>
      <c r="H36" s="20">
        <f t="shared" si="0"/>
        <v>2.1979000000000002</v>
      </c>
    </row>
    <row r="37" spans="1:8" x14ac:dyDescent="0.25">
      <c r="A37" s="15" t="s">
        <v>111</v>
      </c>
      <c r="B37" s="15" t="s">
        <v>107</v>
      </c>
      <c r="C37" s="12">
        <v>4</v>
      </c>
      <c r="D37" s="13">
        <v>3.27</v>
      </c>
      <c r="E37" s="13">
        <v>2.98E-3</v>
      </c>
      <c r="F37" s="13">
        <v>1.49E-3</v>
      </c>
      <c r="G37" s="13">
        <v>4.4799999999999996E-3</v>
      </c>
      <c r="H37" s="20">
        <f t="shared" si="0"/>
        <v>3.27895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Inputs</vt:lpstr>
      <vt:lpstr>Calc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Valle</cp:lastModifiedBy>
  <dcterms:created xsi:type="dcterms:W3CDTF">2026-01-16T16:00:11Z</dcterms:created>
  <dcterms:modified xsi:type="dcterms:W3CDTF">2026-01-16T18:57:36Z</dcterms:modified>
</cp:coreProperties>
</file>